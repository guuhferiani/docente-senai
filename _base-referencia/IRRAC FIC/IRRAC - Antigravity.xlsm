
<file path=[Content_Types].xml><?xml version="1.0" encoding="utf-8"?>
<Types xmlns="http://schemas.openxmlformats.org/package/2006/content-types"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Home" sheetId="1" r:id="rId4"/>
    <sheet state="visible" name="Cadastro" sheetId="2" r:id="rId5"/>
    <sheet state="visible" name="Consolidação" sheetId="3" r:id="rId6"/>
    <sheet state="visible" name="Antigravity" sheetId="4" r:id="rId7"/>
  </sheets>
  <definedNames>
    <definedName name="_xleta.SUMPRODUCT">#NAME?</definedName>
    <definedName name="A">'Consolidação'!$I:$I</definedName>
  </definedNames>
  <calcPr/>
  <extLst>
    <ext uri="GoogleSheetsCustomDataVersion2">
      <go:sheetsCustomData xmlns:go="http://customooxmlschemas.google.com/" r:id="rId8" roundtripDataChecksum="vE1d9goooPktFBCT5kSdcMmhnYq1wxQivnKpaQnnxVI="/>
    </ext>
  </extLst>
</workbook>
</file>

<file path=xl/sharedStrings.xml><?xml version="1.0" encoding="utf-8"?>
<sst xmlns="http://schemas.openxmlformats.org/spreadsheetml/2006/main" count="367" uniqueCount="100">
  <si>
    <t>Resumo</t>
  </si>
  <si>
    <t>Ordem</t>
  </si>
  <si>
    <t>Alunos</t>
  </si>
  <si>
    <t>Critérios Avaliados</t>
  </si>
  <si>
    <t>Critérios Críticos</t>
  </si>
  <si>
    <t>Critérios Desejáveis</t>
  </si>
  <si>
    <t>Critérios críticos Atingidos</t>
  </si>
  <si>
    <t>Critérios Desejáveis atingidos</t>
  </si>
  <si>
    <t>Nota da Unidade</t>
  </si>
  <si>
    <t>Media Final</t>
  </si>
  <si>
    <t>HOME</t>
  </si>
  <si>
    <t xml:space="preserve">INSTRUMENTO DE REGISTRO DOS </t>
  </si>
  <si>
    <t>Média Final</t>
  </si>
  <si>
    <t>ESCOLA SENAI MARIANO FERRAZ</t>
  </si>
  <si>
    <t>RESULTADOS DA AVALIAÇÃO COM CRITÉRIOS</t>
  </si>
  <si>
    <t>Curso:</t>
  </si>
  <si>
    <t>Desenvolvimento de Aplicações com IA Generativa utilizando Google Antigravity</t>
  </si>
  <si>
    <t>Plan 1</t>
  </si>
  <si>
    <t>Turma</t>
  </si>
  <si>
    <t>DESGAGR 2614IB</t>
  </si>
  <si>
    <t>Sem/Ano:</t>
  </si>
  <si>
    <t>2º Sem/2026</t>
  </si>
  <si>
    <r>
      <rPr>
        <rFont val="Calibri"/>
        <color theme="0"/>
        <sz val="11.0"/>
      </rPr>
      <t xml:space="preserve">***Os </t>
    </r>
    <r>
      <rPr>
        <rFont val="Calibri"/>
        <b/>
        <color rgb="FFFFC000"/>
        <sz val="11.0"/>
      </rPr>
      <t>botõe serão gerados</t>
    </r>
    <r>
      <rPr>
        <rFont val="Calibri"/>
        <color theme="0"/>
        <sz val="11.0"/>
      </rPr>
      <t xml:space="preserve"> de acordo com as unidades cadastradas***</t>
    </r>
  </si>
  <si>
    <t>Docente Principal:</t>
  </si>
  <si>
    <t>Gustavo da Silva Feriani</t>
  </si>
  <si>
    <t>INSTRUMENTO DE REGISTRO DOS RESULTADOS DA AVALIAÇÃO COM CRITÉRIOS</t>
  </si>
  <si>
    <t>Unidades</t>
  </si>
  <si>
    <t>Nome da Unidade</t>
  </si>
  <si>
    <t>Nome ou Sigla da Unidade</t>
  </si>
  <si>
    <t>Carga Horária</t>
  </si>
  <si>
    <t>Cadastros</t>
  </si>
  <si>
    <t>Consolidação</t>
  </si>
  <si>
    <t>CURSO</t>
  </si>
  <si>
    <t>UNIDADE CURRICULAR</t>
  </si>
  <si>
    <t>CARGA HORÁRIA</t>
  </si>
  <si>
    <t>DESGAGR</t>
  </si>
  <si>
    <t>DOCENTE PRINCIPAL</t>
  </si>
  <si>
    <t>DOCENTE AUXILIAR</t>
  </si>
  <si>
    <t>TURMA</t>
  </si>
  <si>
    <t>SEM / ANO</t>
  </si>
  <si>
    <t>Capacidades básicas ou
técnicas e socioemocionais</t>
  </si>
  <si>
    <t>Critérios de Avaliação</t>
  </si>
  <si>
    <t>ALUNOS</t>
  </si>
  <si>
    <t>Cadastro de Alunos</t>
  </si>
  <si>
    <t>Nº de Ordem</t>
  </si>
  <si>
    <t>ALAN DA SILVA LIMA</t>
  </si>
  <si>
    <t>EDILSON MOURA SANTOS</t>
  </si>
  <si>
    <t>EVANDRO SPERANDIU GONCALVES</t>
  </si>
  <si>
    <t>Diferenciar IA tradicional e IA generativa</t>
  </si>
  <si>
    <t>Compara e identifica com clareza as finalidades, entradas e saídas da IA tradicional em relação à
IA generativa.</t>
  </si>
  <si>
    <t>C</t>
  </si>
  <si>
    <t>A</t>
  </si>
  <si>
    <t>GIOVANNY HENRIQUE dos SANTOS</t>
  </si>
  <si>
    <t>GLEITON VASCONCELOS DE MELO</t>
  </si>
  <si>
    <t>GUSTAVO BORGES</t>
  </si>
  <si>
    <t>Relaciona as características de cada IA com
exemplos práticos de uso cotidiano e de
desenvolvimento.</t>
  </si>
  <si>
    <t>D</t>
  </si>
  <si>
    <t>LIZA JANE ALEXANDER FRANCA OLIVEIRA</t>
  </si>
  <si>
    <t>NILDEVANIA VASCONCELOS de MELO SOUZA</t>
  </si>
  <si>
    <t>Utilizar modelos de IA generativa pré-treinados</t>
  </si>
  <si>
    <t>Opera o modelo de IA pré-treinado selecionando
o formato adequado para obter a saída exata
desejada (texto, tabela, JSON).</t>
  </si>
  <si>
    <t>OSWALDO DA SILVA BARBOSA DOS SANTOS</t>
  </si>
  <si>
    <t>Manual de Utilização</t>
  </si>
  <si>
    <t>TIAGO DA SILVA FERREIRA NEVES</t>
  </si>
  <si>
    <t>Testa variações na entrada de dados para
observar e registrar as diferentes interpretações
do modelo.</t>
  </si>
  <si>
    <t>© Copyright - Welson de Lima Souza - Todos os direitos reservados.</t>
  </si>
  <si>
    <t>Elaborar prompts estruturados</t>
  </si>
  <si>
    <t>v. 2.0</t>
  </si>
  <si>
    <t>Constrói comandos textuais (prompts) contendo
as diretrizes completas de objetivo, contexto,
restrições e formato solicitadas.</t>
  </si>
  <si>
    <t>Aplica a técnica de exemplos (few-shot) para
melhorar a assertividade e refinar as respostas
geradas.</t>
  </si>
  <si>
    <t>Demonstrar atenção a detalhes</t>
  </si>
  <si>
    <t>Revisa minuciosamente os comandos inseridos e
as respostas geradas para detectar e evitar
alucinações de dados ou falhas de formatação.</t>
  </si>
  <si>
    <t>Organiza as informações e os requisitos da tarefa
de forma metódica antes de iniciar o projeto.</t>
  </si>
  <si>
    <t>Demonstrar raciocínio lógico</t>
  </si>
  <si>
    <t>Identifica e estabelece relações de causa e efeito
precisas entre a estrutura formulada no prompt e
o resultado devolvido pela IA.</t>
  </si>
  <si>
    <t>Propõe sequências de pensamento alternativas e
lógicas na resolução do problema inicial de
comunicação da startup.</t>
  </si>
  <si>
    <t>Utilizar ferramenta Antigravity</t>
  </si>
  <si>
    <t>Gera as funções, os componentes e estrutura as
pastas e camadas do projeto fazendo o uso
funcional da ferramenta Google Antigravity.</t>
  </si>
  <si>
    <t>Otimiza o código-fonte gerado, adaptando-o
eficientemente às dependências específicas
exigidas pelo protótipo.</t>
  </si>
  <si>
    <t>Soluciona falhas sistêmicas e erros de compilação
durante a geração de código de forma
estruturada e sequencial.</t>
  </si>
  <si>
    <t>Explica a lógica computacional do fluxo de dados e
de chamadas das APIs com objetividade.</t>
  </si>
  <si>
    <t>Demonstrar visão sistêmica</t>
  </si>
  <si>
    <t>Constrói e articula o projeto compreendendo a
interdependência técnica entre o front-end, backend e as requisições de Inteligência Artificial.</t>
  </si>
  <si>
    <t>Antecipa impactos e possíveis gargalos de
integração tecnológica no planejamento inicial do
software.</t>
  </si>
  <si>
    <t>Validar protótipo funcional</t>
  </si>
  <si>
    <t>Aplica baterias de testes assertivas para aferir a
coerência e aderência aos requisitos, detectando
erros, vieses e alucinações.</t>
  </si>
  <si>
    <t>Elabora e formata um Relatório Técnico de
Parecer completo, incluindo matriz de correção e
checklist de mitigação de riscos.</t>
  </si>
  <si>
    <t>Avalia com precisão como falhas algorítmicas de
viés impactam o tecido social, o mercado e a
reputação global da empresa.</t>
  </si>
  <si>
    <t>Propõe soluções mitigadoras considerando
simultaneamente a arquitetura de software, o uso
de dados e a segurança corporativa.</t>
  </si>
  <si>
    <t>Demonstrar responsabilidade</t>
  </si>
  <si>
    <t>Pauta a validação de todo o protótipo seguindo
estritamente as diretrizes éticas de
desenvolvimento e uso responsável da IA.</t>
  </si>
  <si>
    <t>Cumpre rigorosamente os prazos da crise
simulada e motiva o grupo na entrega das
investigações e relatórios finais.</t>
  </si>
  <si>
    <t>Demonstrar tolerância ao estresse</t>
  </si>
  <si>
    <t>Mantém o equilíbrio emocional, a estabilidade e
o foco técnico na resolução do problema diante
do cenário polêmico simulado.</t>
  </si>
  <si>
    <t>Age como facilitador para os colegas, apaziguando
conflitos e ansiedades provenientes da pressão do
trabalho de contingência.</t>
  </si>
  <si>
    <t>Legenda:</t>
  </si>
  <si>
    <t>·       A = Atingiu</t>
  </si>
  <si>
    <t>·       N = Não atingiu</t>
  </si>
  <si>
    <t>·       Negrito = Crítico</t>
  </si>
  <si>
    <t>·       Sem negrito = Desejável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</si>
</sst>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5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sz val="11.0"/>
      <color theme="0"/>
      <name val="Calibri"/>
    </font>
    <font>
      <b/>
      <sz val="36.0"/>
      <color rgb="FF4F6128"/>
      <name val="Calibri"/>
    </font>
    <font>
      <b/>
      <sz val="11.0"/>
      <color theme="0"/>
      <name val="Calibri"/>
    </font>
    <font>
      <sz val="9.0"/>
      <color theme="1"/>
      <name val="Calibri"/>
    </font>
    <font>
      <b/>
      <u/>
      <sz val="11.0"/>
      <color rgb="FFFF0000"/>
      <name val="Calibri"/>
    </font>
    <font>
      <b/>
      <sz val="12.0"/>
      <color theme="0"/>
      <name val="Calibri"/>
    </font>
    <font>
      <sz val="12.0"/>
      <color theme="1"/>
      <name val="Calibri"/>
    </font>
    <font>
      <sz val="11.0"/>
      <color rgb="FF3F3F76"/>
      <name val="Calibri"/>
    </font>
    <font/>
    <font>
      <b/>
      <sz val="11.0"/>
      <color rgb="FF3F3F3F"/>
      <name val="Calibri"/>
    </font>
    <font>
      <b/>
      <u/>
      <sz val="11.0"/>
      <color rgb="FF000000"/>
      <name val="Calibri"/>
    </font>
    <font>
      <b/>
      <sz val="9.0"/>
      <color theme="1"/>
      <name val="Calibri"/>
    </font>
    <font>
      <i/>
      <sz val="9.0"/>
      <color theme="1"/>
      <name val="Calibri"/>
    </font>
    <font>
      <b/>
      <sz val="14.0"/>
      <color theme="1"/>
      <name val="Calibri"/>
    </font>
    <font>
      <b/>
      <sz val="7.0"/>
      <color theme="1"/>
      <name val="Calibri"/>
    </font>
    <font>
      <sz val="8.0"/>
      <color theme="1"/>
      <name val="Calibri"/>
    </font>
    <font>
      <sz val="5.0"/>
      <color theme="1"/>
      <name val="Calibri"/>
    </font>
    <font>
      <b/>
      <i/>
      <sz val="8.0"/>
      <color theme="1"/>
      <name val="Calibri"/>
    </font>
    <font>
      <b/>
      <sz val="8.0"/>
      <color theme="1"/>
      <name val="Calibri"/>
    </font>
    <font>
      <b/>
      <u/>
      <sz val="14.0"/>
      <color theme="0"/>
      <name val="Calibri"/>
    </font>
    <font>
      <b/>
      <sz val="11.0"/>
      <color rgb="FF002060"/>
      <name val="Calibri"/>
    </font>
    <font>
      <i/>
      <sz val="8.0"/>
      <color theme="1"/>
      <name val="Calibri"/>
    </font>
  </fonts>
  <fills count="15">
    <fill>
      <patternFill patternType="none"/>
    </fill>
    <fill>
      <patternFill patternType="lightGray"/>
    </fill>
    <fill>
      <patternFill patternType="solid">
        <fgColor rgb="FF548DD4"/>
        <bgColor rgb="FF548DD4"/>
      </patternFill>
    </fill>
    <fill>
      <patternFill patternType="solid">
        <fgColor rgb="FF366092"/>
        <bgColor rgb="FF366092"/>
      </patternFill>
    </fill>
    <fill>
      <patternFill patternType="solid">
        <fgColor rgb="FF17365D"/>
        <bgColor rgb="FF17365D"/>
      </patternFill>
    </fill>
    <fill>
      <patternFill patternType="solid">
        <fgColor rgb="FFFFFF00"/>
        <bgColor rgb="FFFFFF00"/>
      </patternFill>
    </fill>
    <fill>
      <patternFill patternType="solid">
        <fgColor rgb="FFF2DBDB"/>
        <bgColor rgb="FFF2DBDB"/>
      </patternFill>
    </fill>
    <fill>
      <patternFill patternType="solid">
        <fgColor rgb="FFD6E3BC"/>
        <bgColor rgb="FFD6E3BC"/>
      </patternFill>
    </fill>
    <fill>
      <patternFill patternType="solid">
        <fgColor rgb="FF76923C"/>
        <bgColor rgb="FF76923C"/>
      </patternFill>
    </fill>
    <fill>
      <patternFill patternType="solid">
        <fgColor theme="0"/>
        <bgColor theme="0"/>
      </patternFill>
    </fill>
    <fill>
      <patternFill patternType="solid">
        <fgColor rgb="FFFFCC99"/>
        <bgColor rgb="FFFFCC99"/>
      </patternFill>
    </fill>
    <fill>
      <patternFill patternType="solid">
        <fgColor rgb="FFF2F2F2"/>
        <bgColor rgb="FFF2F2F2"/>
      </patternFill>
    </fill>
    <fill>
      <patternFill patternType="solid">
        <fgColor rgb="FFFFC000"/>
        <bgColor rgb="FFFFC000"/>
      </patternFill>
    </fill>
    <fill>
      <patternFill patternType="solid">
        <fgColor rgb="FFBFBFBF"/>
        <bgColor rgb="FFBFBFBF"/>
      </patternFill>
    </fill>
    <fill>
      <patternFill patternType="solid">
        <fgColor rgb="FFB8CCE4"/>
        <bgColor rgb="FFB8CCE4"/>
      </patternFill>
    </fill>
  </fills>
  <borders count="55">
    <border/>
    <border>
      <left/>
      <right/>
      <top/>
      <bottom/>
    </border>
    <border>
      <left style="thin">
        <color rgb="FF4F6128"/>
      </left>
      <right style="thin">
        <color rgb="FF4F6128"/>
      </right>
      <top style="thin">
        <color rgb="FF4F6128"/>
      </top>
    </border>
    <border>
      <left style="thin">
        <color rgb="FF4F6128"/>
      </left>
      <right style="thin">
        <color rgb="FF4F6128"/>
      </right>
      <top style="thin">
        <color rgb="FF4F6128"/>
      </top>
      <bottom style="thin">
        <color rgb="FF4F6128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/>
      <top/>
      <bottom/>
    </border>
    <border>
      <left style="thin">
        <color rgb="FF4F6128"/>
      </left>
      <right style="thin">
        <color rgb="FF000000"/>
      </right>
      <top style="thin">
        <color rgb="FF4F6128"/>
      </top>
      <bottom style="thin">
        <color rgb="FF4F6128"/>
      </bottom>
    </border>
    <border>
      <left style="thin">
        <color rgb="FF000000"/>
      </left>
      <bottom style="thin">
        <color rgb="FF000000"/>
      </bottom>
    </border>
    <border>
      <left style="thin">
        <color rgb="FF7F7F7F"/>
      </left>
      <top style="thin">
        <color rgb="FF7F7F7F"/>
      </top>
      <bottom style="thin">
        <color rgb="FF7F7F7F"/>
      </bottom>
    </border>
    <border>
      <top style="thin">
        <color rgb="FF7F7F7F"/>
      </top>
      <bottom style="thin">
        <color rgb="FF7F7F7F"/>
      </bottom>
    </border>
    <border>
      <right style="thin">
        <color rgb="FF7F7F7F"/>
      </right>
      <top style="thin">
        <color rgb="FF7F7F7F"/>
      </top>
      <bottom style="thin">
        <color rgb="FF7F7F7F"/>
      </bottom>
    </border>
    <border>
      <bottom style="thin">
        <color rgb="FF000000"/>
      </bottom>
    </border>
    <border>
      <left style="medium">
        <color rgb="FF000000"/>
      </left>
      <top style="medium">
        <color rgb="FF000000"/>
      </top>
    </border>
    <border>
      <left style="thin">
        <color rgb="FF4F6128"/>
      </left>
      <right style="thin">
        <color rgb="FF4F6128"/>
      </right>
    </border>
    <border>
      <top style="medium">
        <color rgb="FF000000"/>
      </top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bottom/>
    </border>
    <border>
      <bottom/>
    </border>
    <border>
      <right style="medium">
        <color rgb="FF000000"/>
      </right>
      <bottom/>
    </border>
    <border>
      <left style="medium">
        <color rgb="FF000000"/>
      </left>
      <right/>
      <top/>
      <bottom/>
    </border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/>
      <right style="medium">
        <color rgb="FF000000"/>
      </right>
      <top/>
      <bottom/>
    </border>
    <border>
      <left style="thick">
        <color rgb="FFBFBFBF"/>
      </left>
      <top style="thick">
        <color rgb="FFBFBFBF"/>
      </top>
    </border>
    <border>
      <right style="thick">
        <color rgb="FF000000"/>
      </right>
      <top style="thick">
        <color rgb="FFBFBFBF"/>
      </top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ck">
        <color rgb="FFBFBFBF"/>
      </left>
      <bottom style="thick">
        <color rgb="FF000000"/>
      </bottom>
    </border>
    <border>
      <right style="thick">
        <color rgb="FF000000"/>
      </right>
      <bottom style="thick">
        <color rgb="FF000000"/>
      </bottom>
    </border>
    <border>
      <right/>
      <top style="thin">
        <color rgb="FF000000"/>
      </top>
      <bottom style="thin">
        <color rgb="FF000000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/>
      <top/>
      <bottom/>
    </border>
    <border>
      <top/>
      <bottom/>
    </border>
    <border>
      <right/>
      <top/>
      <bottom/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/>
      <top style="medium">
        <color rgb="FF000000"/>
      </top>
    </border>
    <border>
      <right/>
      <top style="medium">
        <color rgb="FF000000"/>
      </top>
    </border>
    <border>
      <left/>
      <bottom style="medium">
        <color rgb="FF000000"/>
      </bottom>
    </border>
    <border>
      <bottom style="medium">
        <color rgb="FF000000"/>
      </bottom>
    </border>
    <border>
      <right/>
      <bottom style="medium">
        <color rgb="FF000000"/>
      </bottom>
    </border>
    <border>
      <left style="thin">
        <color rgb="FF4F6128"/>
      </left>
      <right style="thin">
        <color rgb="FF4F6128"/>
      </right>
      <bottom/>
    </border>
  </borders>
  <cellStyleXfs count="1">
    <xf borderId="0" fillId="0" fontId="0" numFmtId="0" applyAlignment="1" applyFont="1"/>
  </cellStyleXfs>
  <cellXfs count="128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1" fillId="3" fontId="1" numFmtId="0" xfId="0" applyBorder="1" applyFill="1" applyFont="1"/>
    <xf borderId="1" fillId="4" fontId="1" numFmtId="0" xfId="0" applyBorder="1" applyFill="1" applyFont="1"/>
    <xf borderId="1" fillId="5" fontId="2" numFmtId="0" xfId="0" applyAlignment="1" applyBorder="1" applyFill="1" applyFont="1">
      <alignment horizontal="center" shrinkToFit="0" vertical="center" wrapText="1"/>
    </xf>
    <xf borderId="1" fillId="4" fontId="3" numFmtId="0" xfId="0" applyAlignment="1" applyBorder="1" applyFont="1">
      <alignment horizontal="right" vertical="center"/>
    </xf>
    <xf borderId="0" fillId="0" fontId="1" numFmtId="0" xfId="0" applyAlignment="1" applyFont="1">
      <alignment horizontal="center" shrinkToFit="0" vertical="center" wrapText="1"/>
    </xf>
    <xf borderId="1" fillId="4" fontId="1" numFmtId="0" xfId="0" applyAlignment="1" applyBorder="1" applyFont="1">
      <alignment horizontal="center" vertical="center"/>
    </xf>
    <xf borderId="1" fillId="6" fontId="1" numFmtId="0" xfId="0" applyAlignment="1" applyBorder="1" applyFill="1" applyFont="1">
      <alignment horizontal="center" shrinkToFit="0" vertical="center" wrapText="1"/>
    </xf>
    <xf borderId="2" fillId="7" fontId="4" numFmtId="0" xfId="0" applyAlignment="1" applyBorder="1" applyFill="1" applyFont="1">
      <alignment horizontal="center" shrinkToFit="0" textRotation="90" vertical="center" wrapText="1"/>
    </xf>
    <xf borderId="3" fillId="8" fontId="5" numFmtId="0" xfId="0" applyAlignment="1" applyBorder="1" applyFill="1" applyFont="1">
      <alignment horizontal="center" shrinkToFit="0" vertical="center" wrapText="1"/>
    </xf>
    <xf borderId="4" fillId="0" fontId="6" numFmtId="0" xfId="0" applyAlignment="1" applyBorder="1" applyFont="1">
      <alignment horizontal="center"/>
    </xf>
    <xf borderId="5" fillId="0" fontId="6" numFmtId="0" xfId="0" applyAlignment="1" applyBorder="1" applyFont="1">
      <alignment horizontal="center"/>
    </xf>
    <xf borderId="1" fillId="2" fontId="3" numFmtId="0" xfId="0" applyAlignment="1" applyBorder="1" applyFont="1">
      <alignment horizontal="right"/>
    </xf>
    <xf borderId="5" fillId="0" fontId="6" numFmtId="0" xfId="0" applyAlignment="1" applyBorder="1" applyFont="1">
      <alignment horizontal="center" vertical="center"/>
    </xf>
    <xf borderId="6" fillId="5" fontId="7" numFmtId="0" xfId="0" applyAlignment="1" applyBorder="1" applyFont="1">
      <alignment horizontal="center" vertical="center"/>
    </xf>
    <xf borderId="1" fillId="3" fontId="8" numFmtId="0" xfId="0" applyAlignment="1" applyBorder="1" applyFont="1">
      <alignment horizontal="center"/>
    </xf>
    <xf borderId="1" fillId="3" fontId="9" numFmtId="0" xfId="0" applyAlignment="1" applyBorder="1" applyFont="1">
      <alignment horizontal="center"/>
    </xf>
    <xf borderId="1" fillId="3" fontId="8" numFmtId="0" xfId="0" applyAlignment="1" applyBorder="1" applyFont="1">
      <alignment horizontal="left"/>
    </xf>
    <xf borderId="7" fillId="9" fontId="6" numFmtId="0" xfId="0" applyBorder="1" applyFill="1" applyFont="1"/>
    <xf borderId="1" fillId="9" fontId="1" numFmtId="0" xfId="0" applyBorder="1" applyFont="1"/>
    <xf borderId="8" fillId="8" fontId="5" numFmtId="0" xfId="0" applyAlignment="1" applyBorder="1" applyFont="1">
      <alignment horizontal="center" shrinkToFit="0" vertical="center" wrapText="1"/>
    </xf>
    <xf borderId="1" fillId="3" fontId="5" numFmtId="0" xfId="0" applyBorder="1" applyFont="1"/>
    <xf borderId="9" fillId="0" fontId="2" numFmtId="0" xfId="0" applyAlignment="1" applyBorder="1" applyFont="1">
      <alignment horizontal="center"/>
    </xf>
    <xf borderId="10" fillId="10" fontId="10" numFmtId="0" xfId="0" applyAlignment="1" applyBorder="1" applyFill="1" applyFont="1">
      <alignment horizontal="left"/>
    </xf>
    <xf borderId="1" fillId="5" fontId="2" numFmtId="0" xfId="0" applyAlignment="1" applyBorder="1" applyFont="1">
      <alignment horizontal="center"/>
    </xf>
    <xf borderId="11" fillId="0" fontId="11" numFmtId="0" xfId="0" applyBorder="1" applyFont="1"/>
    <xf borderId="0" fillId="0" fontId="1" numFmtId="0" xfId="0" applyAlignment="1" applyFont="1">
      <alignment horizontal="center"/>
    </xf>
    <xf borderId="12" fillId="0" fontId="11" numFmtId="0" xfId="0" applyBorder="1" applyFont="1"/>
    <xf borderId="0" fillId="0" fontId="1" numFmtId="0" xfId="0" applyAlignment="1" applyFont="1">
      <alignment horizontal="left"/>
    </xf>
    <xf borderId="10" fillId="10" fontId="10" numFmtId="0" xfId="0" applyAlignment="1" applyBorder="1" applyFont="1">
      <alignment horizontal="left" readingOrder="0"/>
    </xf>
    <xf borderId="1" fillId="6" fontId="1" numFmtId="0" xfId="0" applyAlignment="1" applyBorder="1" applyFont="1">
      <alignment horizontal="center"/>
    </xf>
    <xf borderId="13" fillId="0" fontId="11" numFmtId="0" xfId="0" applyBorder="1" applyFont="1"/>
    <xf borderId="0" fillId="0" fontId="1" numFmtId="1" xfId="0" applyAlignment="1" applyFont="1" applyNumberFormat="1">
      <alignment horizontal="center"/>
    </xf>
    <xf borderId="14" fillId="3" fontId="3" numFmtId="0" xfId="0" applyAlignment="1" applyBorder="1" applyFont="1">
      <alignment horizontal="center" vertical="center"/>
    </xf>
    <xf borderId="15" fillId="0" fontId="11" numFmtId="0" xfId="0" applyBorder="1" applyFont="1"/>
    <xf borderId="16" fillId="0" fontId="11" numFmtId="0" xfId="0" applyBorder="1" applyFont="1"/>
    <xf borderId="17" fillId="11" fontId="12" numFmtId="0" xfId="0" applyAlignment="1" applyBorder="1" applyFill="1" applyFont="1">
      <alignment horizontal="center"/>
    </xf>
    <xf borderId="18" fillId="0" fontId="11" numFmtId="0" xfId="0" applyBorder="1" applyFont="1"/>
    <xf borderId="17" fillId="11" fontId="12" numFmtId="0" xfId="0" applyAlignment="1" applyBorder="1" applyFont="1">
      <alignment horizontal="left"/>
    </xf>
    <xf borderId="17" fillId="11" fontId="12" numFmtId="1" xfId="0" applyAlignment="1" applyBorder="1" applyFont="1" applyNumberFormat="1">
      <alignment horizontal="center"/>
    </xf>
    <xf borderId="19" fillId="0" fontId="11" numFmtId="0" xfId="0" applyBorder="1" applyFont="1"/>
    <xf borderId="20" fillId="0" fontId="11" numFmtId="0" xfId="0" applyBorder="1" applyFont="1"/>
    <xf borderId="4" fillId="0" fontId="2" numFmtId="0" xfId="0" applyAlignment="1" applyBorder="1" applyFont="1">
      <alignment horizontal="center"/>
    </xf>
    <xf borderId="21" fillId="0" fontId="11" numFmtId="0" xfId="0" applyBorder="1" applyFont="1"/>
    <xf borderId="5" fillId="0" fontId="11" numFmtId="0" xfId="0" applyBorder="1" applyFont="1"/>
    <xf borderId="22" fillId="3" fontId="1" numFmtId="0" xfId="0" applyBorder="1" applyFont="1"/>
    <xf borderId="23" fillId="3" fontId="1" numFmtId="0" xfId="0" applyBorder="1" applyFont="1"/>
    <xf borderId="24" fillId="3" fontId="1" numFmtId="0" xfId="0" applyBorder="1" applyFont="1"/>
    <xf borderId="25" fillId="3" fontId="1" numFmtId="0" xfId="0" applyBorder="1" applyFont="1"/>
    <xf borderId="26" fillId="3" fontId="1" numFmtId="0" xfId="0" applyBorder="1" applyFont="1"/>
    <xf borderId="1" fillId="2" fontId="3" numFmtId="0" xfId="0" applyAlignment="1" applyBorder="1" applyFont="1">
      <alignment horizontal="right" vertical="center"/>
    </xf>
    <xf borderId="1" fillId="2" fontId="3" numFmtId="0" xfId="0" applyAlignment="1" applyBorder="1" applyFont="1">
      <alignment horizontal="center" vertical="center"/>
    </xf>
    <xf borderId="8" fillId="8" fontId="3" numFmtId="1" xfId="0" applyAlignment="1" applyBorder="1" applyFont="1" applyNumberFormat="1">
      <alignment horizontal="center" vertical="center"/>
    </xf>
    <xf borderId="1" fillId="5" fontId="1" numFmtId="0" xfId="0" applyAlignment="1" applyBorder="1" applyFont="1">
      <alignment horizontal="center"/>
    </xf>
    <xf borderId="27" fillId="12" fontId="13" numFmtId="0" xfId="0" applyAlignment="1" applyBorder="1" applyFill="1" applyFont="1">
      <alignment horizontal="center" vertical="center"/>
    </xf>
    <xf borderId="28" fillId="0" fontId="11" numFmtId="0" xfId="0" applyBorder="1" applyFont="1"/>
    <xf borderId="4" fillId="13" fontId="14" numFmtId="0" xfId="0" applyAlignment="1" applyBorder="1" applyFill="1" applyFont="1">
      <alignment horizontal="center"/>
    </xf>
    <xf borderId="29" fillId="0" fontId="11" numFmtId="0" xfId="0" applyBorder="1" applyFont="1"/>
    <xf borderId="30" fillId="0" fontId="11" numFmtId="0" xfId="0" applyBorder="1" applyFont="1"/>
    <xf borderId="31" fillId="0" fontId="11" numFmtId="0" xfId="0" applyBorder="1" applyFont="1"/>
    <xf borderId="32" fillId="0" fontId="11" numFmtId="0" xfId="0" applyBorder="1" applyFont="1"/>
    <xf borderId="4" fillId="0" fontId="15" numFmtId="0" xfId="0" applyAlignment="1" applyBorder="1" applyFont="1">
      <alignment horizontal="center" vertical="center"/>
    </xf>
    <xf borderId="4" fillId="0" fontId="15" numFmtId="0" xfId="0" applyAlignment="1" applyBorder="1" applyFont="1">
      <alignment horizontal="center" shrinkToFit="0" vertical="center" wrapText="1"/>
    </xf>
    <xf borderId="33" fillId="10" fontId="10" numFmtId="0" xfId="0" applyAlignment="1" applyBorder="1" applyFont="1">
      <alignment horizontal="center" shrinkToFit="0" vertical="center" wrapText="1"/>
    </xf>
    <xf borderId="33" fillId="10" fontId="10" numFmtId="0" xfId="0" applyAlignment="1" applyBorder="1" applyFont="1">
      <alignment horizontal="center" vertical="center"/>
    </xf>
    <xf borderId="4" fillId="13" fontId="14" numFmtId="0" xfId="0" applyAlignment="1" applyBorder="1" applyFont="1">
      <alignment horizontal="center" vertical="center"/>
    </xf>
    <xf borderId="27" fillId="14" fontId="2" numFmtId="0" xfId="0" applyAlignment="1" applyBorder="1" applyFill="1" applyFont="1">
      <alignment horizontal="center" vertical="center"/>
    </xf>
    <xf borderId="7" fillId="9" fontId="6" numFmtId="0" xfId="0" applyAlignment="1" applyBorder="1" applyFont="1">
      <alignment vertical="center"/>
    </xf>
    <xf borderId="34" fillId="0" fontId="16" numFmtId="0" xfId="0" applyAlignment="1" applyBorder="1" applyFont="1">
      <alignment horizontal="center" shrinkToFit="0" vertical="center" wrapText="1"/>
    </xf>
    <xf borderId="35" fillId="0" fontId="11" numFmtId="0" xfId="0" applyBorder="1" applyFont="1"/>
    <xf borderId="36" fillId="0" fontId="11" numFmtId="0" xfId="0" applyBorder="1" applyFont="1"/>
    <xf borderId="34" fillId="0" fontId="16" numFmtId="0" xfId="0" applyAlignment="1" applyBorder="1" applyFont="1">
      <alignment horizontal="center" vertical="center"/>
    </xf>
    <xf borderId="35" fillId="0" fontId="1" numFmtId="0" xfId="0" applyAlignment="1" applyBorder="1" applyFont="1">
      <alignment horizontal="center" vertical="center"/>
    </xf>
    <xf borderId="4" fillId="0" fontId="14" numFmtId="0" xfId="0" applyAlignment="1" applyBorder="1" applyFont="1">
      <alignment horizontal="center" vertical="center"/>
    </xf>
    <xf borderId="37" fillId="0" fontId="11" numFmtId="0" xfId="0" applyBorder="1" applyFont="1"/>
    <xf borderId="38" fillId="0" fontId="11" numFmtId="0" xfId="0" applyBorder="1" applyFont="1"/>
    <xf borderId="0" fillId="0" fontId="1" numFmtId="0" xfId="0" applyAlignment="1" applyFont="1">
      <alignment horizontal="center" vertical="center"/>
    </xf>
    <xf borderId="39" fillId="0" fontId="17" numFmtId="0" xfId="0" applyAlignment="1" applyBorder="1" applyFont="1">
      <alignment horizontal="center" vertical="center"/>
    </xf>
    <xf borderId="38" fillId="0" fontId="1" numFmtId="0" xfId="0" applyAlignment="1" applyBorder="1" applyFont="1">
      <alignment horizontal="center" vertical="center"/>
    </xf>
    <xf borderId="40" fillId="0" fontId="18" numFmtId="0" xfId="0" applyAlignment="1" applyBorder="1" applyFont="1">
      <alignment horizontal="left" textRotation="90"/>
    </xf>
    <xf borderId="1" fillId="2" fontId="1" numFmtId="0" xfId="0" applyAlignment="1" applyBorder="1" applyFont="1">
      <alignment horizontal="center" vertical="center"/>
    </xf>
    <xf borderId="41" fillId="2" fontId="5" numFmtId="0" xfId="0" applyAlignment="1" applyBorder="1" applyFont="1">
      <alignment horizontal="center" vertical="center"/>
    </xf>
    <xf borderId="42" fillId="0" fontId="11" numFmtId="0" xfId="0" applyBorder="1" applyFont="1"/>
    <xf borderId="43" fillId="0" fontId="11" numFmtId="0" xfId="0" applyBorder="1" applyFont="1"/>
    <xf borderId="1" fillId="2" fontId="5" numFmtId="0" xfId="0" applyAlignment="1" applyBorder="1" applyFont="1">
      <alignment horizontal="center" vertical="center"/>
    </xf>
    <xf borderId="40" fillId="0" fontId="18" numFmtId="0" xfId="0" applyAlignment="1" applyBorder="1" applyFont="1">
      <alignment textRotation="90"/>
    </xf>
    <xf borderId="1" fillId="2" fontId="5" numFmtId="0" xfId="0" applyBorder="1" applyFont="1"/>
    <xf borderId="0" fillId="0" fontId="1" numFmtId="0" xfId="0" applyAlignment="1" applyFont="1">
      <alignment readingOrder="0" shrinkToFit="0" wrapText="1"/>
    </xf>
    <xf borderId="9" fillId="0" fontId="11" numFmtId="0" xfId="0" applyBorder="1" applyFont="1"/>
    <xf borderId="44" fillId="0" fontId="11" numFmtId="0" xfId="0" applyBorder="1" applyFont="1"/>
    <xf borderId="45" fillId="0" fontId="11" numFmtId="0" xfId="0" applyBorder="1" applyFont="1"/>
    <xf borderId="0" fillId="0" fontId="1" numFmtId="0" xfId="0" applyAlignment="1" applyFont="1">
      <alignment readingOrder="0"/>
    </xf>
    <xf borderId="7" fillId="9" fontId="19" numFmtId="0" xfId="0" applyBorder="1" applyFont="1"/>
    <xf borderId="34" fillId="0" fontId="20" numFmtId="0" xfId="0" applyAlignment="1" applyBorder="1" applyFont="1">
      <alignment horizontal="center" shrinkToFit="0" vertical="center" wrapText="1"/>
    </xf>
    <xf borderId="4" fillId="0" fontId="21" numFmtId="0" xfId="0" applyAlignment="1" applyBorder="1" applyFont="1">
      <alignment horizontal="left" shrinkToFit="0" vertical="center" wrapText="1"/>
    </xf>
    <xf borderId="5" fillId="0" fontId="1" numFmtId="0" xfId="0" applyAlignment="1" applyBorder="1" applyFont="1">
      <alignment horizontal="center" vertical="center"/>
    </xf>
    <xf borderId="39" fillId="0" fontId="6" numFmtId="0" xfId="0" applyAlignment="1" applyBorder="1" applyFont="1">
      <alignment horizontal="center" vertical="center"/>
    </xf>
    <xf borderId="4" fillId="0" fontId="18" numFmtId="0" xfId="0" applyAlignment="1" applyBorder="1" applyFont="1">
      <alignment horizontal="left" shrinkToFit="0" vertical="center" wrapText="1"/>
    </xf>
    <xf borderId="46" fillId="3" fontId="1" numFmtId="0" xfId="0" applyBorder="1" applyFont="1"/>
    <xf borderId="47" fillId="3" fontId="1" numFmtId="0" xfId="0" applyBorder="1" applyFont="1"/>
    <xf borderId="48" fillId="3" fontId="1" numFmtId="0" xfId="0" applyBorder="1" applyFont="1"/>
    <xf borderId="49" fillId="3" fontId="22" numFmtId="0" xfId="0" applyAlignment="1" applyBorder="1" applyFont="1">
      <alignment horizontal="center" vertical="center"/>
    </xf>
    <xf borderId="50" fillId="0" fontId="11" numFmtId="0" xfId="0" applyBorder="1" applyFont="1"/>
    <xf borderId="0" fillId="0" fontId="1" numFmtId="0" xfId="0" applyFont="1"/>
    <xf borderId="51" fillId="0" fontId="11" numFmtId="0" xfId="0" applyBorder="1" applyFont="1"/>
    <xf borderId="52" fillId="0" fontId="11" numFmtId="0" xfId="0" applyBorder="1" applyFont="1"/>
    <xf borderId="53" fillId="0" fontId="11" numFmtId="0" xfId="0" applyBorder="1" applyFont="1"/>
    <xf borderId="24" fillId="3" fontId="23" numFmtId="0" xfId="0" applyAlignment="1" applyBorder="1" applyFont="1">
      <alignment horizontal="left"/>
    </xf>
    <xf borderId="1" fillId="3" fontId="5" numFmtId="0" xfId="0" applyAlignment="1" applyBorder="1" applyFont="1">
      <alignment horizontal="center" vertical="center"/>
    </xf>
    <xf borderId="7" fillId="9" fontId="24" numFmtId="0" xfId="0" applyAlignment="1" applyBorder="1" applyFont="1">
      <alignment horizontal="center" shrinkToFit="0" vertical="center" wrapText="1"/>
    </xf>
    <xf borderId="1" fillId="9" fontId="24" numFmtId="0" xfId="0" applyAlignment="1" applyBorder="1" applyFont="1">
      <alignment horizontal="center" shrinkToFit="0" vertical="center" wrapText="1"/>
    </xf>
    <xf borderId="1" fillId="9" fontId="6" numFmtId="0" xfId="0" applyBorder="1" applyFont="1"/>
    <xf borderId="7" fillId="9" fontId="20" numFmtId="0" xfId="0" applyAlignment="1" applyBorder="1" applyFont="1">
      <alignment horizontal="center" shrinkToFit="0" vertical="center" wrapText="1"/>
    </xf>
    <xf borderId="1" fillId="9" fontId="20" numFmtId="0" xfId="0" applyAlignment="1" applyBorder="1" applyFont="1">
      <alignment horizontal="center" shrinkToFit="0" vertical="center" wrapText="1"/>
    </xf>
    <xf borderId="54" fillId="0" fontId="11" numFmtId="0" xfId="0" applyBorder="1" applyFont="1"/>
    <xf borderId="1" fillId="8" fontId="1" numFmtId="0" xfId="0" applyBorder="1" applyFont="1"/>
    <xf borderId="1" fillId="8" fontId="1" numFmtId="0" xfId="0" applyAlignment="1" applyBorder="1" applyFont="1">
      <alignment horizontal="left"/>
    </xf>
    <xf borderId="0" fillId="0" fontId="20" numFmtId="0" xfId="0" applyAlignment="1" applyFont="1">
      <alignment horizontal="center" shrinkToFit="0" vertical="center" wrapText="1"/>
    </xf>
    <xf borderId="0" fillId="0" fontId="18" numFmtId="0" xfId="0" applyAlignment="1" applyFont="1">
      <alignment horizontal="left" shrinkToFit="0" vertical="center" wrapText="1"/>
    </xf>
    <xf borderId="0" fillId="0" fontId="6" numFmtId="0" xfId="0" applyAlignment="1" applyFont="1">
      <alignment horizontal="center" vertical="center"/>
    </xf>
    <xf borderId="0" fillId="0" fontId="6" numFmtId="0" xfId="0" applyFont="1"/>
    <xf borderId="34" fillId="0" fontId="14" numFmtId="0" xfId="0" applyAlignment="1" applyBorder="1" applyFont="1">
      <alignment horizontal="left"/>
    </xf>
    <xf borderId="37" fillId="0" fontId="6" numFmtId="0" xfId="0" applyAlignment="1" applyBorder="1" applyFont="1">
      <alignment horizontal="left"/>
    </xf>
    <xf borderId="37" fillId="0" fontId="14" numFmtId="0" xfId="0" applyAlignment="1" applyBorder="1" applyFont="1">
      <alignment horizontal="left"/>
    </xf>
    <xf borderId="9" fillId="0" fontId="6" numFmtId="0" xfId="0" applyAlignment="1" applyBorder="1" applyFont="1">
      <alignment horizontal="left"/>
    </xf>
    <xf borderId="1" fillId="9" fontId="6" numFmtId="0" xfId="0" applyAlignment="1" applyBorder="1" applyFont="1">
      <alignment horizontal="center" vertical="center"/>
    </xf>
    <xf borderId="1" fillId="9" fontId="1" numFmtId="0" xfId="0" applyAlignment="1" applyBorder="1" applyFont="1">
      <alignment horizontal="center" vertical="center"/>
    </xf>
  </cellXfs>
  <cellStyles count="1">
    <cellStyle xfId="0" name="Normal" builtinId="0"/>
  </cellStyles>
  <dxfs count="6">
    <dxf>
      <font>
        <color rgb="FF366092"/>
      </font>
      <fill>
        <patternFill patternType="solid">
          <fgColor rgb="FF366092"/>
          <bgColor rgb="FF366092"/>
        </patternFill>
      </fill>
      <border/>
    </dxf>
    <dxf>
      <font>
        <b/>
        <color rgb="FFC00000"/>
      </font>
      <fill>
        <patternFill patternType="solid">
          <fgColor rgb="FFF2DBDB"/>
          <bgColor rgb="FFF2DBDB"/>
        </patternFill>
      </fill>
      <border/>
    </dxf>
    <dxf>
      <font>
        <color rgb="FFC00000"/>
      </font>
      <fill>
        <patternFill patternType="solid">
          <fgColor rgb="FFF2DBDB"/>
          <bgColor rgb="FFF2DBDB"/>
        </patternFill>
      </fill>
      <border/>
    </dxf>
    <dxf>
      <font>
        <color rgb="FF4F6128"/>
      </font>
      <fill>
        <patternFill patternType="solid">
          <fgColor rgb="FFEAF1DD"/>
          <bgColor rgb="FFEAF1DD"/>
        </patternFill>
      </fill>
      <border/>
    </dxf>
    <dxf>
      <font>
        <color rgb="FF9C0006"/>
      </font>
      <fill>
        <patternFill patternType="solid">
          <fgColor rgb="FFFFC7CE"/>
          <bgColor rgb="FFFFC7CE"/>
        </patternFill>
      </fill>
      <border/>
    </dxf>
    <dxf>
      <font>
        <color rgb="FF9C6500"/>
      </font>
      <fill>
        <patternFill patternType="solid">
          <fgColor rgb="FFFFEB9C"/>
          <bgColor rgb="FFFFEB9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180975</xdr:colOff>
      <xdr:row>1</xdr:row>
      <xdr:rowOff>66675</xdr:rowOff>
    </xdr:from>
    <xdr:ext cx="2038350" cy="876300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9</xdr:col>
      <xdr:colOff>0</xdr:colOff>
      <xdr:row>0</xdr:row>
      <xdr:rowOff>0</xdr:rowOff>
    </xdr:from>
    <xdr:ext cx="1343025" cy="6000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26" width="9.14"/>
  </cols>
  <sheetData>
    <row r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2"/>
      <c r="B3" s="16"/>
      <c r="C3" s="17"/>
      <c r="D3" s="17"/>
      <c r="E3" s="2"/>
      <c r="F3" s="18" t="s">
        <v>11</v>
      </c>
      <c r="G3" s="16"/>
      <c r="H3" s="17"/>
      <c r="I3" s="17"/>
      <c r="J3" s="17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2"/>
      <c r="B4" s="2"/>
      <c r="C4" s="2"/>
      <c r="D4" s="2"/>
      <c r="E4" s="2"/>
      <c r="F4" s="22" t="s">
        <v>14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>
      <c r="A7" s="2"/>
      <c r="B7" s="34" t="s">
        <v>22</v>
      </c>
      <c r="C7" s="36"/>
      <c r="D7" s="36"/>
      <c r="E7" s="36"/>
      <c r="F7" s="36"/>
      <c r="G7" s="36"/>
      <c r="H7" s="36"/>
      <c r="I7" s="36"/>
      <c r="J7" s="38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>
      <c r="A8" s="2"/>
      <c r="B8" s="41"/>
      <c r="C8" s="42"/>
      <c r="D8" s="42"/>
      <c r="E8" s="42"/>
      <c r="F8" s="42"/>
      <c r="G8" s="42"/>
      <c r="H8" s="42"/>
      <c r="I8" s="42"/>
      <c r="J8" s="44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>
      <c r="A9" s="2"/>
      <c r="B9" s="46"/>
      <c r="C9" s="47"/>
      <c r="D9" s="48"/>
      <c r="E9" s="48"/>
      <c r="F9" s="48"/>
      <c r="G9" s="48"/>
      <c r="H9" s="48"/>
      <c r="I9" s="49"/>
      <c r="J9" s="50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>
      <c r="A10" s="2"/>
      <c r="B10" s="46"/>
      <c r="C10" s="46"/>
      <c r="D10" s="55" t="s">
        <v>30</v>
      </c>
      <c r="E10" s="56"/>
      <c r="F10" s="2"/>
      <c r="G10" s="55" t="s">
        <v>31</v>
      </c>
      <c r="H10" s="56"/>
      <c r="I10" s="50"/>
      <c r="J10" s="50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>
      <c r="A11" s="2"/>
      <c r="B11" s="46"/>
      <c r="C11" s="46"/>
      <c r="D11" s="59"/>
      <c r="E11" s="60"/>
      <c r="F11" s="2"/>
      <c r="G11" s="59"/>
      <c r="H11" s="60"/>
      <c r="I11" s="50"/>
      <c r="J11" s="50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>
      <c r="A12" s="2"/>
      <c r="B12" s="46"/>
      <c r="C12" s="46"/>
      <c r="D12" s="2"/>
      <c r="E12" s="2"/>
      <c r="F12" s="2"/>
      <c r="G12" s="2"/>
      <c r="H12" s="2"/>
      <c r="I12" s="50"/>
      <c r="J12" s="50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>
      <c r="A13" s="2"/>
      <c r="B13" s="46"/>
      <c r="C13" s="46"/>
      <c r="D13" s="2"/>
      <c r="E13" s="2"/>
      <c r="F13" s="2"/>
      <c r="G13" s="2"/>
      <c r="H13" s="2"/>
      <c r="I13" s="50"/>
      <c r="J13" s="50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>
      <c r="A14" s="2"/>
      <c r="B14" s="46"/>
      <c r="C14" s="46"/>
      <c r="D14" s="67" t="str">
        <f>Cadastro!E10</f>
        <v>DESGAGR</v>
      </c>
      <c r="E14" s="56"/>
      <c r="F14" s="2"/>
      <c r="G14" s="67" t="str">
        <f>Cadastro!E11</f>
        <v/>
      </c>
      <c r="H14" s="56"/>
      <c r="I14" s="50"/>
      <c r="J14" s="50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>
      <c r="A15" s="2"/>
      <c r="B15" s="46"/>
      <c r="C15" s="46"/>
      <c r="D15" s="59"/>
      <c r="E15" s="60"/>
      <c r="F15" s="2"/>
      <c r="G15" s="59"/>
      <c r="H15" s="60"/>
      <c r="I15" s="50"/>
      <c r="J15" s="50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>
      <c r="A16" s="2"/>
      <c r="B16" s="46"/>
      <c r="C16" s="46"/>
      <c r="D16" s="2"/>
      <c r="E16" s="2"/>
      <c r="F16" s="2"/>
      <c r="G16" s="2"/>
      <c r="H16" s="2"/>
      <c r="I16" s="50"/>
      <c r="J16" s="50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>
      <c r="A17" s="2"/>
      <c r="B17" s="46"/>
      <c r="C17" s="46"/>
      <c r="D17" s="2"/>
      <c r="E17" s="2"/>
      <c r="F17" s="2"/>
      <c r="G17" s="2"/>
      <c r="H17" s="2"/>
      <c r="I17" s="50"/>
      <c r="J17" s="50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>
      <c r="A18" s="2"/>
      <c r="B18" s="46"/>
      <c r="C18" s="46"/>
      <c r="D18" s="67" t="str">
        <f>Cadastro!E12</f>
        <v/>
      </c>
      <c r="E18" s="56"/>
      <c r="F18" s="2"/>
      <c r="G18" s="67" t="str">
        <f>Cadastro!E13</f>
        <v/>
      </c>
      <c r="H18" s="56"/>
      <c r="I18" s="50"/>
      <c r="J18" s="50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>
      <c r="A19" s="2"/>
      <c r="B19" s="46"/>
      <c r="C19" s="46"/>
      <c r="D19" s="59"/>
      <c r="E19" s="60"/>
      <c r="F19" s="2"/>
      <c r="G19" s="59"/>
      <c r="H19" s="60"/>
      <c r="I19" s="50"/>
      <c r="J19" s="50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>
      <c r="A20" s="2"/>
      <c r="B20" s="46"/>
      <c r="C20" s="46"/>
      <c r="D20" s="2"/>
      <c r="E20" s="2"/>
      <c r="F20" s="2"/>
      <c r="G20" s="2"/>
      <c r="H20" s="2"/>
      <c r="I20" s="50"/>
      <c r="J20" s="50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>
      <c r="A21" s="2"/>
      <c r="B21" s="46"/>
      <c r="C21" s="46"/>
      <c r="D21" s="2"/>
      <c r="E21" s="2"/>
      <c r="F21" s="2"/>
      <c r="G21" s="2"/>
      <c r="H21" s="2"/>
      <c r="I21" s="50"/>
      <c r="J21" s="50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>
      <c r="A22" s="2"/>
      <c r="B22" s="46"/>
      <c r="C22" s="46"/>
      <c r="D22" s="67" t="str">
        <f>Cadastro!E14</f>
        <v/>
      </c>
      <c r="E22" s="56"/>
      <c r="F22" s="2"/>
      <c r="G22" s="67" t="str">
        <f>Cadastro!E15</f>
        <v/>
      </c>
      <c r="H22" s="56"/>
      <c r="I22" s="50"/>
      <c r="J22" s="50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>
      <c r="A23" s="2"/>
      <c r="B23" s="46"/>
      <c r="C23" s="46"/>
      <c r="D23" s="59"/>
      <c r="E23" s="60"/>
      <c r="F23" s="2"/>
      <c r="G23" s="59"/>
      <c r="H23" s="60"/>
      <c r="I23" s="50"/>
      <c r="J23" s="50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>
      <c r="A24" s="2"/>
      <c r="B24" s="46"/>
      <c r="C24" s="46"/>
      <c r="D24" s="2"/>
      <c r="E24" s="2"/>
      <c r="F24" s="2"/>
      <c r="G24" s="2"/>
      <c r="H24" s="2"/>
      <c r="I24" s="50"/>
      <c r="J24" s="50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2"/>
      <c r="B25" s="46"/>
      <c r="C25" s="46"/>
      <c r="D25" s="2"/>
      <c r="E25" s="2"/>
      <c r="F25" s="2"/>
      <c r="G25" s="2"/>
      <c r="H25" s="2"/>
      <c r="I25" s="50"/>
      <c r="J25" s="50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2"/>
      <c r="B26" s="46"/>
      <c r="C26" s="46"/>
      <c r="D26" s="67" t="str">
        <f>Cadastro!E16</f>
        <v/>
      </c>
      <c r="E26" s="56"/>
      <c r="F26" s="2"/>
      <c r="G26" s="67" t="str">
        <f>Cadastro!E17</f>
        <v/>
      </c>
      <c r="H26" s="56"/>
      <c r="I26" s="50"/>
      <c r="J26" s="50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2"/>
      <c r="B27" s="46"/>
      <c r="C27" s="46"/>
      <c r="D27" s="59"/>
      <c r="E27" s="60"/>
      <c r="F27" s="2"/>
      <c r="G27" s="59"/>
      <c r="H27" s="60"/>
      <c r="I27" s="50"/>
      <c r="J27" s="50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2"/>
      <c r="B28" s="46"/>
      <c r="C28" s="46"/>
      <c r="D28" s="2"/>
      <c r="E28" s="2"/>
      <c r="F28" s="2"/>
      <c r="G28" s="2"/>
      <c r="H28" s="2"/>
      <c r="I28" s="50"/>
      <c r="J28" s="50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2"/>
      <c r="B29" s="46"/>
      <c r="C29" s="46"/>
      <c r="D29" s="2"/>
      <c r="E29" s="2"/>
      <c r="F29" s="2"/>
      <c r="G29" s="2"/>
      <c r="H29" s="2"/>
      <c r="I29" s="50"/>
      <c r="J29" s="50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2"/>
      <c r="B30" s="46"/>
      <c r="C30" s="46"/>
      <c r="D30" s="67" t="str">
        <f>Cadastro!E18</f>
        <v/>
      </c>
      <c r="E30" s="56"/>
      <c r="F30" s="2"/>
      <c r="G30" s="67" t="str">
        <f>Cadastro!E19</f>
        <v/>
      </c>
      <c r="H30" s="56"/>
      <c r="I30" s="50"/>
      <c r="J30" s="50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2"/>
      <c r="B31" s="46"/>
      <c r="C31" s="46"/>
      <c r="D31" s="59"/>
      <c r="E31" s="60"/>
      <c r="F31" s="2"/>
      <c r="G31" s="59"/>
      <c r="H31" s="60"/>
      <c r="I31" s="50"/>
      <c r="J31" s="50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>
      <c r="A32" s="2"/>
      <c r="B32" s="46"/>
      <c r="C32" s="46"/>
      <c r="D32" s="2"/>
      <c r="E32" s="2"/>
      <c r="F32" s="2"/>
      <c r="G32" s="2"/>
      <c r="H32" s="2"/>
      <c r="I32" s="50"/>
      <c r="J32" s="50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2"/>
      <c r="B33" s="46"/>
      <c r="C33" s="99"/>
      <c r="D33" s="100"/>
      <c r="E33" s="100"/>
      <c r="F33" s="100"/>
      <c r="G33" s="100"/>
      <c r="H33" s="100"/>
      <c r="I33" s="101"/>
      <c r="J33" s="50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2"/>
      <c r="B34" s="46"/>
      <c r="C34" s="2"/>
      <c r="D34" s="2"/>
      <c r="E34" s="2"/>
      <c r="F34" s="2"/>
      <c r="G34" s="102" t="s">
        <v>62</v>
      </c>
      <c r="H34" s="36"/>
      <c r="I34" s="103"/>
      <c r="J34" s="50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2"/>
      <c r="B35" s="99"/>
      <c r="C35" s="100"/>
      <c r="D35" s="100"/>
      <c r="E35" s="100"/>
      <c r="F35" s="100"/>
      <c r="G35" s="105"/>
      <c r="H35" s="106"/>
      <c r="I35" s="107"/>
      <c r="J35" s="101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2"/>
      <c r="B36" s="108" t="s">
        <v>65</v>
      </c>
      <c r="C36" s="108"/>
      <c r="D36" s="108"/>
      <c r="E36" s="108"/>
      <c r="F36" s="108"/>
      <c r="G36" s="108"/>
      <c r="H36" s="108"/>
      <c r="I36" s="108"/>
      <c r="J36" s="109" t="s">
        <v>67</v>
      </c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5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5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5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5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5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5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5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5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5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5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5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5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5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5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5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5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4">
    <mergeCell ref="D22:E23"/>
    <mergeCell ref="G22:H23"/>
    <mergeCell ref="D26:E27"/>
    <mergeCell ref="G26:H27"/>
    <mergeCell ref="D30:E31"/>
    <mergeCell ref="G30:H31"/>
    <mergeCell ref="G34:I35"/>
    <mergeCell ref="B7:J8"/>
    <mergeCell ref="D10:E11"/>
    <mergeCell ref="G10:H11"/>
    <mergeCell ref="D14:E15"/>
    <mergeCell ref="G14:H15"/>
    <mergeCell ref="D18:E19"/>
    <mergeCell ref="G18:H19"/>
  </mergeCells>
  <conditionalFormatting sqref="D14:E15 D18:E19 D22:E23 D26:E27 D30:E31 G14:H15 G18:H19 G22:H23 G26:H27 G30:H31">
    <cfRule type="cellIs" dxfId="0" priority="1" operator="equal">
      <formula>0</formula>
    </cfRule>
  </conditionalFormatting>
  <hyperlinks>
    <hyperlink display="Cadastros" location="Cadastro!A1" ref="D10"/>
    <hyperlink display="Consolidação" location="'Consolidação'!A1" ref="G10"/>
    <hyperlink display="Manual de Utilização" location="null!A1" ref="G34"/>
  </hyperlinks>
  <printOptions/>
  <pageMargins bottom="0.787401575" footer="0.0" header="0.0" left="0.511811024" right="0.511811024" top="0.7874015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9.14"/>
    <col customWidth="1" min="2" max="2" width="0.86"/>
    <col customWidth="1" min="3" max="3" width="18.29"/>
    <col customWidth="1" min="4" max="4" width="50.43"/>
    <col customWidth="1" min="5" max="5" width="29.14"/>
    <col customWidth="1" min="6" max="6" width="16.14"/>
    <col customWidth="1" min="7" max="7" width="17.43"/>
    <col customWidth="1" min="8" max="8" width="0.86"/>
    <col customWidth="1" min="9" max="26" width="9.14"/>
  </cols>
  <sheetData>
    <row r="1" ht="9.75" customHeight="1">
      <c r="A1" s="1"/>
      <c r="B1" s="3"/>
      <c r="C1" s="5"/>
      <c r="D1" s="7"/>
      <c r="E1" s="7"/>
      <c r="F1" s="7"/>
      <c r="G1" s="3"/>
      <c r="H1" s="3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30.0" customHeight="1">
      <c r="A2" s="1"/>
      <c r="B2" s="3"/>
      <c r="C2" s="13"/>
      <c r="D2" s="1"/>
      <c r="E2" s="1"/>
      <c r="F2" s="1"/>
      <c r="G2" s="15" t="s">
        <v>10</v>
      </c>
      <c r="H2" s="3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3"/>
      <c r="C3" s="13"/>
      <c r="D3" s="1"/>
      <c r="E3" s="1"/>
      <c r="F3" s="1"/>
      <c r="G3" s="1"/>
      <c r="H3" s="3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3"/>
      <c r="C4" s="13" t="s">
        <v>15</v>
      </c>
      <c r="D4" s="24" t="s">
        <v>16</v>
      </c>
      <c r="E4" s="26"/>
      <c r="F4" s="28"/>
      <c r="G4" s="1"/>
      <c r="H4" s="3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3"/>
      <c r="C5" s="13" t="s">
        <v>18</v>
      </c>
      <c r="D5" s="30" t="s">
        <v>19</v>
      </c>
      <c r="E5" s="26"/>
      <c r="F5" s="28"/>
      <c r="G5" s="1"/>
      <c r="H5" s="3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3"/>
      <c r="C6" s="13" t="s">
        <v>20</v>
      </c>
      <c r="D6" s="30" t="s">
        <v>21</v>
      </c>
      <c r="E6" s="26"/>
      <c r="F6" s="28"/>
      <c r="G6" s="1"/>
      <c r="H6" s="3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3"/>
      <c r="C7" s="13" t="s">
        <v>23</v>
      </c>
      <c r="D7" s="24" t="s">
        <v>24</v>
      </c>
      <c r="E7" s="26"/>
      <c r="F7" s="28"/>
      <c r="G7" s="1"/>
      <c r="H7" s="3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"/>
      <c r="B8" s="3"/>
      <c r="C8" s="13"/>
      <c r="D8" s="24"/>
      <c r="E8" s="26"/>
      <c r="F8" s="28"/>
      <c r="G8" s="1"/>
      <c r="H8" s="3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1"/>
      <c r="B9" s="3"/>
      <c r="C9" s="51" t="s">
        <v>26</v>
      </c>
      <c r="D9" s="52" t="s">
        <v>27</v>
      </c>
      <c r="E9" s="52" t="s">
        <v>28</v>
      </c>
      <c r="F9" s="52" t="s">
        <v>29</v>
      </c>
      <c r="G9" s="1"/>
      <c r="H9" s="3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1"/>
      <c r="B10" s="3"/>
      <c r="C10" s="51">
        <v>1.0</v>
      </c>
      <c r="D10" s="64" t="s">
        <v>16</v>
      </c>
      <c r="E10" s="65" t="s">
        <v>35</v>
      </c>
      <c r="F10" s="65">
        <v>40.0</v>
      </c>
      <c r="G10" s="1"/>
      <c r="H10" s="3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1"/>
      <c r="B11" s="3"/>
      <c r="C11" s="51">
        <v>2.0</v>
      </c>
      <c r="D11" s="65"/>
      <c r="E11" s="65"/>
      <c r="F11" s="65"/>
      <c r="G11" s="1"/>
      <c r="H11" s="3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1"/>
      <c r="B12" s="3"/>
      <c r="C12" s="51">
        <v>3.0</v>
      </c>
      <c r="D12" s="65"/>
      <c r="E12" s="65"/>
      <c r="F12" s="65"/>
      <c r="G12" s="1"/>
      <c r="H12" s="3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1"/>
      <c r="B13" s="3"/>
      <c r="C13" s="51">
        <v>4.0</v>
      </c>
      <c r="D13" s="65"/>
      <c r="E13" s="65"/>
      <c r="F13" s="65"/>
      <c r="G13" s="1"/>
      <c r="H13" s="3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1"/>
      <c r="B14" s="3"/>
      <c r="C14" s="51">
        <v>5.0</v>
      </c>
      <c r="D14" s="65"/>
      <c r="E14" s="65"/>
      <c r="F14" s="65"/>
      <c r="G14" s="1"/>
      <c r="H14" s="3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1"/>
      <c r="B15" s="3"/>
      <c r="C15" s="51">
        <v>6.0</v>
      </c>
      <c r="D15" s="65"/>
      <c r="E15" s="65"/>
      <c r="F15" s="65"/>
      <c r="G15" s="1"/>
      <c r="H15" s="3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>
      <c r="A16" s="1"/>
      <c r="B16" s="3"/>
      <c r="C16" s="51">
        <v>7.0</v>
      </c>
      <c r="D16" s="65"/>
      <c r="E16" s="65"/>
      <c r="F16" s="65"/>
      <c r="G16" s="1"/>
      <c r="H16" s="3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1"/>
      <c r="B17" s="3"/>
      <c r="C17" s="51">
        <v>8.0</v>
      </c>
      <c r="D17" s="65"/>
      <c r="E17" s="65"/>
      <c r="F17" s="65"/>
      <c r="G17" s="1"/>
      <c r="H17" s="3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1"/>
      <c r="B18" s="3"/>
      <c r="C18" s="51">
        <v>9.0</v>
      </c>
      <c r="D18" s="65"/>
      <c r="E18" s="65"/>
      <c r="F18" s="65"/>
      <c r="G18" s="1"/>
      <c r="H18" s="3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1"/>
      <c r="B19" s="3"/>
      <c r="C19" s="51">
        <v>10.0</v>
      </c>
      <c r="D19" s="65"/>
      <c r="E19" s="65"/>
      <c r="F19" s="65"/>
      <c r="G19" s="1"/>
      <c r="H19" s="3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1"/>
      <c r="B20" s="3"/>
      <c r="C20" s="1"/>
      <c r="D20" s="1"/>
      <c r="E20" s="1"/>
      <c r="F20" s="1"/>
      <c r="G20" s="1"/>
      <c r="H20" s="3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6.0" customHeight="1">
      <c r="A21" s="1"/>
      <c r="B21" s="3"/>
      <c r="C21" s="5"/>
      <c r="D21" s="7"/>
      <c r="E21" s="7"/>
      <c r="F21" s="7"/>
      <c r="G21" s="3"/>
      <c r="H21" s="3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1"/>
      <c r="B22" s="3"/>
      <c r="C22" s="51"/>
      <c r="D22" s="81"/>
      <c r="E22" s="81"/>
      <c r="F22" s="81"/>
      <c r="G22" s="1"/>
      <c r="H22" s="3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1"/>
      <c r="B23" s="3"/>
      <c r="C23" s="82" t="s">
        <v>43</v>
      </c>
      <c r="D23" s="83"/>
      <c r="E23" s="83"/>
      <c r="F23" s="83"/>
      <c r="G23" s="84"/>
      <c r="H23" s="3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1"/>
      <c r="B24" s="3"/>
      <c r="C24" s="85" t="s">
        <v>44</v>
      </c>
      <c r="D24" s="85" t="s">
        <v>2</v>
      </c>
      <c r="E24" s="85"/>
      <c r="F24" s="85"/>
      <c r="G24" s="87"/>
      <c r="H24" s="3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1"/>
      <c r="B25" s="3"/>
      <c r="C25" s="52">
        <v>1.0</v>
      </c>
      <c r="D25" s="88" t="s">
        <v>45</v>
      </c>
      <c r="E25" s="81"/>
      <c r="F25" s="81"/>
      <c r="G25" s="1"/>
      <c r="H25" s="3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1"/>
      <c r="B26" s="3"/>
      <c r="C26" s="52">
        <v>2.0</v>
      </c>
      <c r="D26" s="92" t="s">
        <v>46</v>
      </c>
      <c r="E26" s="81"/>
      <c r="F26" s="81"/>
      <c r="G26" s="1"/>
      <c r="H26" s="3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1"/>
      <c r="B27" s="3"/>
      <c r="C27" s="52">
        <v>3.0</v>
      </c>
      <c r="D27" s="92" t="s">
        <v>47</v>
      </c>
      <c r="E27" s="81"/>
      <c r="F27" s="81"/>
      <c r="G27" s="1"/>
      <c r="H27" s="3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3"/>
      <c r="C28" s="52">
        <v>4.0</v>
      </c>
      <c r="D28" s="92" t="s">
        <v>52</v>
      </c>
      <c r="E28" s="81"/>
      <c r="F28" s="81"/>
      <c r="G28" s="1"/>
      <c r="H28" s="3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>
      <c r="A29" s="1"/>
      <c r="B29" s="3"/>
      <c r="C29" s="52">
        <v>5.0</v>
      </c>
      <c r="D29" s="92" t="s">
        <v>53</v>
      </c>
      <c r="E29" s="81"/>
      <c r="F29" s="81"/>
      <c r="G29" s="1"/>
      <c r="H29" s="3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>
      <c r="A30" s="1"/>
      <c r="B30" s="3"/>
      <c r="C30" s="52">
        <v>6.0</v>
      </c>
      <c r="D30" s="92" t="s">
        <v>54</v>
      </c>
      <c r="E30" s="81"/>
      <c r="F30" s="81"/>
      <c r="G30" s="1"/>
      <c r="H30" s="3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3"/>
      <c r="C31" s="52">
        <v>7.0</v>
      </c>
      <c r="D31" s="92" t="s">
        <v>57</v>
      </c>
      <c r="E31" s="81"/>
      <c r="F31" s="81"/>
      <c r="G31" s="1"/>
      <c r="H31" s="3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1"/>
      <c r="B32" s="3"/>
      <c r="C32" s="52">
        <v>8.0</v>
      </c>
      <c r="D32" s="92" t="s">
        <v>58</v>
      </c>
      <c r="E32" s="81"/>
      <c r="F32" s="81"/>
      <c r="G32" s="1"/>
      <c r="H32" s="3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>
      <c r="A33" s="1"/>
      <c r="B33" s="3"/>
      <c r="C33" s="52">
        <v>9.0</v>
      </c>
      <c r="D33" s="92" t="s">
        <v>61</v>
      </c>
      <c r="E33" s="81"/>
      <c r="F33" s="81"/>
      <c r="G33" s="1"/>
      <c r="H33" s="3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>
      <c r="A34" s="1"/>
      <c r="B34" s="3"/>
      <c r="C34" s="52">
        <v>10.0</v>
      </c>
      <c r="D34" s="92" t="s">
        <v>63</v>
      </c>
      <c r="E34" s="81"/>
      <c r="F34" s="81"/>
      <c r="G34" s="1"/>
      <c r="H34" s="3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>
      <c r="A35" s="1"/>
      <c r="B35" s="3"/>
      <c r="C35" s="52">
        <v>11.0</v>
      </c>
      <c r="D35" s="104"/>
      <c r="E35" s="81"/>
      <c r="F35" s="81"/>
      <c r="G35" s="1"/>
      <c r="H35" s="3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>
      <c r="A36" s="1"/>
      <c r="B36" s="3"/>
      <c r="C36" s="52">
        <v>12.0</v>
      </c>
      <c r="D36" s="104"/>
      <c r="E36" s="81"/>
      <c r="F36" s="81"/>
      <c r="G36" s="1"/>
      <c r="H36" s="3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>
      <c r="A37" s="1"/>
      <c r="B37" s="3"/>
      <c r="C37" s="52">
        <v>13.0</v>
      </c>
      <c r="D37" s="104"/>
      <c r="E37" s="81"/>
      <c r="F37" s="81"/>
      <c r="G37" s="1"/>
      <c r="H37" s="3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>
      <c r="A38" s="1"/>
      <c r="B38" s="3"/>
      <c r="C38" s="52">
        <v>14.0</v>
      </c>
      <c r="D38" s="104"/>
      <c r="E38" s="81"/>
      <c r="F38" s="81"/>
      <c r="G38" s="1"/>
      <c r="H38" s="3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>
      <c r="A39" s="1"/>
      <c r="B39" s="3"/>
      <c r="C39" s="52">
        <v>15.0</v>
      </c>
      <c r="D39" s="104"/>
      <c r="E39" s="81"/>
      <c r="F39" s="81"/>
      <c r="G39" s="1"/>
      <c r="H39" s="3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>
      <c r="A40" s="1"/>
      <c r="B40" s="3"/>
      <c r="C40" s="52">
        <v>16.0</v>
      </c>
      <c r="D40" s="104"/>
      <c r="E40" s="81"/>
      <c r="F40" s="81"/>
      <c r="G40" s="1"/>
      <c r="H40" s="3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>
      <c r="A41" s="1"/>
      <c r="B41" s="3"/>
      <c r="C41" s="52">
        <v>17.0</v>
      </c>
      <c r="D41" s="104"/>
      <c r="E41" s="81"/>
      <c r="F41" s="81"/>
      <c r="G41" s="1"/>
      <c r="H41" s="3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>
      <c r="A42" s="1"/>
      <c r="B42" s="3"/>
      <c r="C42" s="52">
        <v>18.0</v>
      </c>
      <c r="D42" s="104"/>
      <c r="E42" s="81"/>
      <c r="F42" s="81"/>
      <c r="G42" s="1"/>
      <c r="H42" s="3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>
      <c r="A43" s="1"/>
      <c r="B43" s="3"/>
      <c r="C43" s="52">
        <v>19.0</v>
      </c>
      <c r="D43" s="104"/>
      <c r="E43" s="81"/>
      <c r="F43" s="81"/>
      <c r="G43" s="1"/>
      <c r="H43" s="3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>
      <c r="A44" s="1"/>
      <c r="B44" s="3"/>
      <c r="C44" s="52">
        <v>20.0</v>
      </c>
      <c r="D44" s="104"/>
      <c r="E44" s="81"/>
      <c r="F44" s="81"/>
      <c r="G44" s="1"/>
      <c r="H44" s="3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>
      <c r="A45" s="1"/>
      <c r="B45" s="3"/>
      <c r="C45" s="52">
        <v>21.0</v>
      </c>
      <c r="D45" s="104"/>
      <c r="E45" s="81"/>
      <c r="F45" s="81"/>
      <c r="G45" s="1"/>
      <c r="H45" s="3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>
      <c r="A46" s="1"/>
      <c r="B46" s="3"/>
      <c r="C46" s="52">
        <v>22.0</v>
      </c>
      <c r="D46" s="104"/>
      <c r="E46" s="81"/>
      <c r="F46" s="81"/>
      <c r="G46" s="1"/>
      <c r="H46" s="3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>
      <c r="A47" s="1"/>
      <c r="B47" s="3"/>
      <c r="C47" s="52">
        <v>23.0</v>
      </c>
      <c r="D47" s="104"/>
      <c r="E47" s="81"/>
      <c r="F47" s="81"/>
      <c r="G47" s="1"/>
      <c r="H47" s="3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>
      <c r="A48" s="1"/>
      <c r="B48" s="3"/>
      <c r="C48" s="52">
        <v>24.0</v>
      </c>
      <c r="D48" s="104"/>
      <c r="E48" s="81"/>
      <c r="F48" s="81"/>
      <c r="G48" s="1"/>
      <c r="H48" s="3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>
      <c r="A49" s="1"/>
      <c r="B49" s="3"/>
      <c r="C49" s="52">
        <v>25.0</v>
      </c>
      <c r="D49" s="104"/>
      <c r="E49" s="81"/>
      <c r="F49" s="81"/>
      <c r="G49" s="1"/>
      <c r="H49" s="3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>
      <c r="A50" s="1"/>
      <c r="B50" s="3"/>
      <c r="C50" s="52">
        <v>26.0</v>
      </c>
      <c r="D50" s="104"/>
      <c r="E50" s="81"/>
      <c r="F50" s="81"/>
      <c r="G50" s="1"/>
      <c r="H50" s="3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>
      <c r="A51" s="1"/>
      <c r="B51" s="3"/>
      <c r="C51" s="52">
        <v>27.0</v>
      </c>
      <c r="D51" s="104"/>
      <c r="E51" s="81"/>
      <c r="F51" s="81"/>
      <c r="G51" s="1"/>
      <c r="H51" s="3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>
      <c r="A52" s="1"/>
      <c r="B52" s="3"/>
      <c r="C52" s="52">
        <v>28.0</v>
      </c>
      <c r="D52" s="104"/>
      <c r="E52" s="81"/>
      <c r="F52" s="81"/>
      <c r="G52" s="1"/>
      <c r="H52" s="3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>
      <c r="A53" s="1"/>
      <c r="B53" s="3"/>
      <c r="C53" s="52">
        <v>29.0</v>
      </c>
      <c r="D53" s="104"/>
      <c r="E53" s="81"/>
      <c r="F53" s="81"/>
      <c r="G53" s="1"/>
      <c r="H53" s="3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3"/>
      <c r="C54" s="52">
        <v>30.0</v>
      </c>
      <c r="D54" s="104"/>
      <c r="E54" s="81"/>
      <c r="F54" s="81"/>
      <c r="G54" s="1"/>
      <c r="H54" s="3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3"/>
      <c r="C55" s="52">
        <v>31.0</v>
      </c>
      <c r="D55" s="104"/>
      <c r="E55" s="81"/>
      <c r="F55" s="81"/>
      <c r="G55" s="1"/>
      <c r="H55" s="3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3"/>
      <c r="C56" s="52">
        <v>32.0</v>
      </c>
      <c r="D56" s="104"/>
      <c r="E56" s="81"/>
      <c r="F56" s="81"/>
      <c r="G56" s="1"/>
      <c r="H56" s="3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3"/>
      <c r="C57" s="52">
        <v>33.0</v>
      </c>
      <c r="D57" s="104"/>
      <c r="E57" s="81"/>
      <c r="F57" s="81"/>
      <c r="G57" s="1"/>
      <c r="H57" s="3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3"/>
      <c r="C58" s="52"/>
      <c r="D58" s="1"/>
      <c r="E58" s="1"/>
      <c r="F58" s="1"/>
      <c r="G58" s="1"/>
      <c r="H58" s="3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3.75" customHeight="1">
      <c r="A59" s="1"/>
      <c r="B59" s="3"/>
      <c r="C59" s="5"/>
      <c r="D59" s="7"/>
      <c r="E59" s="7"/>
      <c r="F59" s="7"/>
      <c r="G59" s="3"/>
      <c r="H59" s="3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6">
    <mergeCell ref="D4:F4"/>
    <mergeCell ref="D5:F5"/>
    <mergeCell ref="D6:F6"/>
    <mergeCell ref="D7:F7"/>
    <mergeCell ref="D8:F8"/>
    <mergeCell ref="C23:G23"/>
  </mergeCells>
  <hyperlinks>
    <hyperlink display="HOME" location="Home!A1" ref="G2"/>
  </hyperlinks>
  <printOptions/>
  <pageMargins bottom="0.787401575" footer="0.0" header="0.0" left="0.511811024" right="0.511811024" top="0.787401575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xSplit="3.0" ySplit="1.0" topLeftCell="D2" activePane="bottomRight" state="frozen"/>
      <selection activeCell="D1" sqref="D1" pane="topRight"/>
      <selection activeCell="A2" sqref="A2" pane="bottomLeft"/>
      <selection activeCell="D2" sqref="D2" pane="bottomRight"/>
    </sheetView>
  </sheetViews>
  <sheetFormatPr customHeight="1" defaultColWidth="14.43" defaultRowHeight="15.0"/>
  <cols>
    <col customWidth="1" min="1" max="1" width="8.14"/>
    <col customWidth="1" min="2" max="2" width="7.14"/>
    <col customWidth="1" min="3" max="3" width="51.71"/>
    <col customWidth="1" min="4" max="4" width="9.57"/>
    <col customWidth="1" min="5" max="5" width="8.57"/>
    <col customWidth="1" min="6" max="6" width="10.57"/>
    <col customWidth="1" min="7" max="7" width="9.43"/>
    <col customWidth="1" min="8" max="8" width="10.43"/>
    <col customWidth="1" min="9" max="9" width="8.14"/>
    <col customWidth="1" min="10" max="10" width="9.14"/>
    <col customWidth="1" min="11" max="11" width="7.71"/>
    <col customWidth="1" min="12" max="12" width="52.14"/>
    <col customWidth="1" min="13" max="13" width="10.14"/>
    <col customWidth="1" min="14" max="15" width="9.14"/>
    <col customWidth="1" min="16" max="16" width="13.0"/>
    <col customWidth="1" min="17" max="23" width="9.14"/>
  </cols>
  <sheetData>
    <row r="1">
      <c r="A1" s="4" t="s">
        <v>0</v>
      </c>
      <c r="B1" s="6" t="s">
        <v>1</v>
      </c>
      <c r="C1" s="6" t="s">
        <v>2</v>
      </c>
      <c r="D1" s="6" t="s">
        <v>3</v>
      </c>
      <c r="E1" s="8" t="s">
        <v>4</v>
      </c>
      <c r="F1" s="6" t="s">
        <v>5</v>
      </c>
      <c r="G1" s="8" t="s">
        <v>6</v>
      </c>
      <c r="H1" s="6" t="s">
        <v>7</v>
      </c>
      <c r="I1" s="6" t="s">
        <v>8</v>
      </c>
      <c r="J1" s="9" t="s">
        <v>9</v>
      </c>
      <c r="K1" s="10" t="s">
        <v>1</v>
      </c>
      <c r="L1" s="10" t="s">
        <v>2</v>
      </c>
      <c r="M1" s="10" t="str">
        <f>IF(Cadastro!$E$10="","",Cadastro!$E$10)</f>
        <v>DESGAGR</v>
      </c>
      <c r="N1" s="10" t="str">
        <f>IF(Cadastro!$E$11="","",Cadastro!$E$11)</f>
        <v/>
      </c>
      <c r="O1" s="10" t="str">
        <f>IF(Cadastro!$E$12="","",Cadastro!$E$12)</f>
        <v/>
      </c>
      <c r="P1" s="10" t="str">
        <f>IF(Cadastro!$E$13="","",Cadastro!$E$13)</f>
        <v/>
      </c>
      <c r="Q1" s="10" t="str">
        <f>IF(Cadastro!$E$14="","",Cadastro!$E$14)</f>
        <v/>
      </c>
      <c r="R1" s="10" t="str">
        <f>IF(Cadastro!$E$15="","",Cadastro!$E$15)</f>
        <v/>
      </c>
      <c r="S1" s="10" t="str">
        <f>IF(Cadastro!$E$16="","",Cadastro!$E$16)</f>
        <v/>
      </c>
      <c r="T1" s="10" t="str">
        <f>IF(Cadastro!$E$17="","",Cadastro!$E$17)</f>
        <v/>
      </c>
      <c r="U1" s="10" t="str">
        <f>IF(Cadastro!$E$18="","",Cadastro!$E$18)</f>
        <v/>
      </c>
      <c r="V1" s="10" t="str">
        <f>IF(Cadastro!$E$19="","",Cadastro!$E$19)</f>
        <v/>
      </c>
      <c r="W1" s="21" t="s">
        <v>12</v>
      </c>
    </row>
    <row r="2">
      <c r="A2" s="25" t="s">
        <v>17</v>
      </c>
      <c r="B2" s="27">
        <v>1.0</v>
      </c>
      <c r="C2" s="29" t="str">
        <f>IF(Cadastro!D25="","",Cadastro!D25)</f>
        <v>ALAN DA SILVA LIMA</v>
      </c>
      <c r="D2" s="27">
        <f t="array" ref="D2">SUMPRODUCT((INDEX(Antigravity!$J$15:$AD$40,,$B2)&lt;&gt;"")*(INDEX(Antigravity!$J$15:$AD$40,,$B2)&lt;&gt;"N/A"))</f>
        <v>24</v>
      </c>
      <c r="E2" s="31">
        <v>12.0</v>
      </c>
      <c r="F2" s="27">
        <f t="shared" ref="F2:F15" si="1">D2-E2</f>
        <v>12</v>
      </c>
      <c r="G2" s="8">
        <f>COUNTIFS(Antigravity!$I$15:$I$40,"C",OFFSET(Antigravity!$J$15:$J$40,0,ROW(A1)-1),"A")</f>
        <v>12</v>
      </c>
      <c r="H2" s="27">
        <f>COUNTIFS(Antigravity!$I$15:$I$40,"D",OFFSET(Antigravity!$J$15:$J$40, 0, ROW(A1)-1),"A")</f>
        <v>12</v>
      </c>
      <c r="I2" s="33">
        <f t="shared" ref="I2:I15" si="2">ROUND((G2*(50/E2))+(H2*(50/F2)),0)</f>
        <v>100</v>
      </c>
      <c r="J2" s="35"/>
      <c r="K2" s="37">
        <v>1.0</v>
      </c>
      <c r="L2" s="39" t="str">
        <f t="shared" ref="L2:L34" si="3">C2</f>
        <v>ALAN DA SILVA LIMA</v>
      </c>
      <c r="M2" s="40">
        <f t="shared" ref="M2:M34" si="4">IF(OR(L2="",M1=""),"",I2)</f>
        <v>100</v>
      </c>
      <c r="N2" s="40" t="str">
        <f>IFERROR(IF(OR(L2="",N1=""),"",#REF!),"")</f>
        <v/>
      </c>
      <c r="O2" s="40" t="str">
        <f>IFERROR(IF(OR(L2="",O1=""),"",#REF!),"")</f>
        <v/>
      </c>
      <c r="P2" s="40" t="str">
        <f t="shared" ref="P2:P34" si="5">IFERROR(IF(OR(L2="",P1=""),"",#REF!),"")</f>
        <v/>
      </c>
      <c r="Q2" s="40" t="str">
        <f>IFERROR(IF(OR(L2="",Q1=""),"",#REF!),"")</f>
        <v/>
      </c>
      <c r="R2" s="40" t="str">
        <f>IFERROR(IF(OR(L2="",R1=""),"",#REF!),"")</f>
        <v/>
      </c>
      <c r="S2" s="40" t="str">
        <f t="shared" ref="S2:S34" si="6">IFERROR(IF(OR(L2="",$S$1=""),"",#REF!),"")</f>
        <v/>
      </c>
      <c r="T2" s="40" t="str">
        <f>IFERROR(IF(OR(L2="",T1=""),"",#REF!),"")</f>
        <v/>
      </c>
      <c r="U2" s="40" t="str">
        <f>IFERROR(IF(OR(L2="",U1=""),"",#REF!),"")</f>
        <v/>
      </c>
      <c r="V2" s="40" t="str">
        <f>IFERROR(IF(OR(L2="",V1=""),"",#REF!),"")</f>
        <v/>
      </c>
      <c r="W2" s="53">
        <f t="shared" ref="W2:W34" si="7">IF(L2="","",AVERAGE(M2:V2))</f>
        <v>100</v>
      </c>
    </row>
    <row r="3">
      <c r="A3" s="54"/>
      <c r="B3" s="27">
        <v>2.0</v>
      </c>
      <c r="C3" s="29" t="str">
        <f>IF(Cadastro!D26="","",Cadastro!D26)</f>
        <v>EDILSON MOURA SANTOS</v>
      </c>
      <c r="D3" s="27">
        <f t="array" ref="D3">SUMPRODUCT((INDEX(Antigravity!$J$15:$AD$40,,$B3)&lt;&gt;"")*(INDEX(Antigravity!$J$15:$AD$40,,$B3)&lt;&gt;"N/A"))</f>
        <v>24</v>
      </c>
      <c r="E3" s="31">
        <v>12.0</v>
      </c>
      <c r="F3" s="27">
        <f t="shared" si="1"/>
        <v>12</v>
      </c>
      <c r="G3" s="8">
        <f>COUNTIFS(Antigravity!$I$15:$I$40,"C",OFFSET(Antigravity!$J$15:$J$40,0,ROW(A2)-1),"A")</f>
        <v>12</v>
      </c>
      <c r="H3" s="27">
        <f>COUNTIFS(Antigravity!$I$15:$I$40,"D",OFFSET(Antigravity!$J$15:$J$40, 0, ROW(A2)-1),"A")</f>
        <v>12</v>
      </c>
      <c r="I3" s="33">
        <f t="shared" si="2"/>
        <v>100</v>
      </c>
      <c r="J3" s="35"/>
      <c r="K3" s="37">
        <v>2.0</v>
      </c>
      <c r="L3" s="39" t="str">
        <f t="shared" si="3"/>
        <v>EDILSON MOURA SANTOS</v>
      </c>
      <c r="M3" s="40">
        <f t="shared" si="4"/>
        <v>100</v>
      </c>
      <c r="N3" s="40" t="str">
        <f t="shared" ref="N3:N34" si="8">IF(OR(L3="",N2=""),"",#REF!)</f>
        <v/>
      </c>
      <c r="O3" s="40" t="str">
        <f t="shared" ref="O3:O34" si="9">IF(OR(L3="",O2=""),"",#REF!)</f>
        <v/>
      </c>
      <c r="P3" s="40" t="str">
        <f t="shared" si="5"/>
        <v/>
      </c>
      <c r="Q3" s="40" t="str">
        <f t="shared" ref="Q3:Q34" si="10">IF(OR(L3="",Q2=""),"",#REF!)</f>
        <v/>
      </c>
      <c r="R3" s="40" t="str">
        <f t="shared" ref="R3:R34" si="11">IF(OR(L3="",R2=""),"",#REF!)</f>
        <v/>
      </c>
      <c r="S3" s="40" t="str">
        <f t="shared" si="6"/>
        <v/>
      </c>
      <c r="T3" s="40" t="str">
        <f t="shared" ref="T3:T34" si="12">IF(OR(L3="",T2=""),"",#REF!)</f>
        <v/>
      </c>
      <c r="U3" s="40" t="str">
        <f t="shared" ref="U3:U34" si="13">IF(OR(L3="",U2=""),"",#REF!)</f>
        <v/>
      </c>
      <c r="V3" s="40" t="str">
        <f t="shared" ref="V3:V34" si="14">IF(OR(L3="",V2=""),"",#REF!)</f>
        <v/>
      </c>
      <c r="W3" s="53">
        <f t="shared" si="7"/>
        <v>100</v>
      </c>
    </row>
    <row r="4">
      <c r="A4" s="54"/>
      <c r="B4" s="27">
        <v>3.0</v>
      </c>
      <c r="C4" s="29" t="str">
        <f>IF(Cadastro!D27="","",Cadastro!D27)</f>
        <v>EVANDRO SPERANDIU GONCALVES</v>
      </c>
      <c r="D4" s="27">
        <f t="array" ref="D4">SUMPRODUCT((INDEX(Antigravity!$J$15:$AD$40,,$B4)&lt;&gt;"")*(INDEX(Antigravity!$J$15:$AD$40,,$B4)&lt;&gt;"N/A"))</f>
        <v>24</v>
      </c>
      <c r="E4" s="31">
        <v>12.0</v>
      </c>
      <c r="F4" s="27">
        <f t="shared" si="1"/>
        <v>12</v>
      </c>
      <c r="G4" s="8">
        <f>COUNTIFS(Antigravity!$I$15:$I$40,"C",OFFSET(Antigravity!$J$15:$J$40,0,ROW(A3)-1),"A")</f>
        <v>12</v>
      </c>
      <c r="H4" s="27">
        <f>COUNTIFS(Antigravity!$I$15:$I$40,"D",OFFSET(Antigravity!$J$15:$J$40, 0, ROW(A3)-1),"A")</f>
        <v>12</v>
      </c>
      <c r="I4" s="33">
        <f t="shared" si="2"/>
        <v>100</v>
      </c>
      <c r="J4" s="35"/>
      <c r="K4" s="37">
        <v>3.0</v>
      </c>
      <c r="L4" s="39" t="str">
        <f t="shared" si="3"/>
        <v>EVANDRO SPERANDIU GONCALVES</v>
      </c>
      <c r="M4" s="40">
        <f t="shared" si="4"/>
        <v>100</v>
      </c>
      <c r="N4" s="40" t="str">
        <f t="shared" si="8"/>
        <v/>
      </c>
      <c r="O4" s="40" t="str">
        <f t="shared" si="9"/>
        <v/>
      </c>
      <c r="P4" s="40" t="str">
        <f t="shared" si="5"/>
        <v/>
      </c>
      <c r="Q4" s="40" t="str">
        <f t="shared" si="10"/>
        <v/>
      </c>
      <c r="R4" s="40" t="str">
        <f t="shared" si="11"/>
        <v/>
      </c>
      <c r="S4" s="40" t="str">
        <f t="shared" si="6"/>
        <v/>
      </c>
      <c r="T4" s="40" t="str">
        <f t="shared" si="12"/>
        <v/>
      </c>
      <c r="U4" s="40" t="str">
        <f t="shared" si="13"/>
        <v/>
      </c>
      <c r="V4" s="40" t="str">
        <f t="shared" si="14"/>
        <v/>
      </c>
      <c r="W4" s="53">
        <f t="shared" si="7"/>
        <v>100</v>
      </c>
    </row>
    <row r="5">
      <c r="A5" s="54"/>
      <c r="B5" s="27">
        <v>4.0</v>
      </c>
      <c r="C5" s="29" t="str">
        <f>IF(Cadastro!D28="","",Cadastro!D28)</f>
        <v>GIOVANNY HENRIQUE dos SANTOS</v>
      </c>
      <c r="D5" s="27">
        <f t="array" ref="D5">SUMPRODUCT((INDEX(Antigravity!$J$15:$AD$40,,$B5)&lt;&gt;"")*(INDEX(Antigravity!$J$15:$AD$40,,$B5)&lt;&gt;"N/A"))</f>
        <v>24</v>
      </c>
      <c r="E5" s="31">
        <v>12.0</v>
      </c>
      <c r="F5" s="27">
        <f t="shared" si="1"/>
        <v>12</v>
      </c>
      <c r="G5" s="8">
        <f>COUNTIFS(Antigravity!$I$15:$I$40,"C",OFFSET(Antigravity!$J$15:$J$40,0,ROW(A4)-1),"A")</f>
        <v>12</v>
      </c>
      <c r="H5" s="27">
        <f>COUNTIFS(Antigravity!$I$15:$I$40,"D",OFFSET(Antigravity!$J$15:$J$40, 0, ROW(A4)-1),"A")</f>
        <v>12</v>
      </c>
      <c r="I5" s="33">
        <f t="shared" si="2"/>
        <v>100</v>
      </c>
      <c r="J5" s="35"/>
      <c r="K5" s="37">
        <v>4.0</v>
      </c>
      <c r="L5" s="39" t="str">
        <f t="shared" si="3"/>
        <v>GIOVANNY HENRIQUE dos SANTOS</v>
      </c>
      <c r="M5" s="40">
        <f t="shared" si="4"/>
        <v>100</v>
      </c>
      <c r="N5" s="40" t="str">
        <f t="shared" si="8"/>
        <v/>
      </c>
      <c r="O5" s="40" t="str">
        <f t="shared" si="9"/>
        <v/>
      </c>
      <c r="P5" s="40" t="str">
        <f t="shared" si="5"/>
        <v/>
      </c>
      <c r="Q5" s="40" t="str">
        <f t="shared" si="10"/>
        <v/>
      </c>
      <c r="R5" s="40" t="str">
        <f t="shared" si="11"/>
        <v/>
      </c>
      <c r="S5" s="40" t="str">
        <f t="shared" si="6"/>
        <v/>
      </c>
      <c r="T5" s="40" t="str">
        <f t="shared" si="12"/>
        <v/>
      </c>
      <c r="U5" s="40" t="str">
        <f t="shared" si="13"/>
        <v/>
      </c>
      <c r="V5" s="40" t="str">
        <f t="shared" si="14"/>
        <v/>
      </c>
      <c r="W5" s="53">
        <f t="shared" si="7"/>
        <v>100</v>
      </c>
    </row>
    <row r="6">
      <c r="A6" s="54"/>
      <c r="B6" s="27">
        <v>5.0</v>
      </c>
      <c r="C6" s="29" t="str">
        <f>IF(Cadastro!D29="","",Cadastro!D29)</f>
        <v>GLEITON VASCONCELOS DE MELO</v>
      </c>
      <c r="D6" s="27">
        <f t="array" ref="D6">SUMPRODUCT((INDEX(Antigravity!$J$15:$AD$40,,$B6)&lt;&gt;"")*(INDEX(Antigravity!$J$15:$AD$40,,$B6)&lt;&gt;"N/A"))</f>
        <v>24</v>
      </c>
      <c r="E6" s="31">
        <v>12.0</v>
      </c>
      <c r="F6" s="27">
        <f t="shared" si="1"/>
        <v>12</v>
      </c>
      <c r="G6" s="8">
        <f>COUNTIFS(Antigravity!$I$15:$I$40,"C",OFFSET(Antigravity!$J$15:$J$40,0,ROW(A5)-1),"A")</f>
        <v>12</v>
      </c>
      <c r="H6" s="27">
        <f>COUNTIFS(Antigravity!$I$15:$I$40,"D",OFFSET(Antigravity!$J$15:$J$40, 0, ROW(A5)-1),"A")</f>
        <v>12</v>
      </c>
      <c r="I6" s="33">
        <f t="shared" si="2"/>
        <v>100</v>
      </c>
      <c r="J6" s="35"/>
      <c r="K6" s="37">
        <v>5.0</v>
      </c>
      <c r="L6" s="39" t="str">
        <f t="shared" si="3"/>
        <v>GLEITON VASCONCELOS DE MELO</v>
      </c>
      <c r="M6" s="40">
        <f t="shared" si="4"/>
        <v>100</v>
      </c>
      <c r="N6" s="40" t="str">
        <f t="shared" si="8"/>
        <v/>
      </c>
      <c r="O6" s="40" t="str">
        <f t="shared" si="9"/>
        <v/>
      </c>
      <c r="P6" s="40" t="str">
        <f t="shared" si="5"/>
        <v/>
      </c>
      <c r="Q6" s="40" t="str">
        <f t="shared" si="10"/>
        <v/>
      </c>
      <c r="R6" s="40" t="str">
        <f t="shared" si="11"/>
        <v/>
      </c>
      <c r="S6" s="40" t="str">
        <f t="shared" si="6"/>
        <v/>
      </c>
      <c r="T6" s="40" t="str">
        <f t="shared" si="12"/>
        <v/>
      </c>
      <c r="U6" s="40" t="str">
        <f t="shared" si="13"/>
        <v/>
      </c>
      <c r="V6" s="40" t="str">
        <f t="shared" si="14"/>
        <v/>
      </c>
      <c r="W6" s="53">
        <f t="shared" si="7"/>
        <v>100</v>
      </c>
    </row>
    <row r="7">
      <c r="A7" s="54"/>
      <c r="B7" s="27">
        <v>6.0</v>
      </c>
      <c r="C7" s="29" t="str">
        <f>IF(Cadastro!D30="","",Cadastro!D30)</f>
        <v>GUSTAVO BORGES</v>
      </c>
      <c r="D7" s="27">
        <f t="array" ref="D7">SUMPRODUCT((INDEX(Antigravity!$J$15:$AD$40,,$B7)&lt;&gt;"")*(INDEX(Antigravity!$J$15:$AD$40,,$B7)&lt;&gt;"N/A"))</f>
        <v>24</v>
      </c>
      <c r="E7" s="31">
        <v>12.0</v>
      </c>
      <c r="F7" s="27">
        <f t="shared" si="1"/>
        <v>12</v>
      </c>
      <c r="G7" s="8">
        <f>COUNTIFS(Antigravity!$I$15:$I$40,"C",OFFSET(Antigravity!$J$15:$J$40,0,ROW(A6)-1),"A")</f>
        <v>12</v>
      </c>
      <c r="H7" s="27">
        <f>COUNTIFS(Antigravity!$I$15:$I$40,"D",OFFSET(Antigravity!$J$15:$J$40, 0, ROW(A6)-1),"A")</f>
        <v>12</v>
      </c>
      <c r="I7" s="33">
        <f t="shared" si="2"/>
        <v>100</v>
      </c>
      <c r="J7" s="35"/>
      <c r="K7" s="37">
        <v>6.0</v>
      </c>
      <c r="L7" s="39" t="str">
        <f t="shared" si="3"/>
        <v>GUSTAVO BORGES</v>
      </c>
      <c r="M7" s="40">
        <f t="shared" si="4"/>
        <v>100</v>
      </c>
      <c r="N7" s="40" t="str">
        <f t="shared" si="8"/>
        <v/>
      </c>
      <c r="O7" s="40" t="str">
        <f t="shared" si="9"/>
        <v/>
      </c>
      <c r="P7" s="40" t="str">
        <f t="shared" si="5"/>
        <v/>
      </c>
      <c r="Q7" s="40" t="str">
        <f t="shared" si="10"/>
        <v/>
      </c>
      <c r="R7" s="40" t="str">
        <f t="shared" si="11"/>
        <v/>
      </c>
      <c r="S7" s="40" t="str">
        <f t="shared" si="6"/>
        <v/>
      </c>
      <c r="T7" s="40" t="str">
        <f t="shared" si="12"/>
        <v/>
      </c>
      <c r="U7" s="40" t="str">
        <f t="shared" si="13"/>
        <v/>
      </c>
      <c r="V7" s="40" t="str">
        <f t="shared" si="14"/>
        <v/>
      </c>
      <c r="W7" s="53">
        <f t="shared" si="7"/>
        <v>100</v>
      </c>
    </row>
    <row r="8">
      <c r="A8" s="54"/>
      <c r="B8" s="27">
        <v>7.0</v>
      </c>
      <c r="C8" s="29" t="str">
        <f>IF(Cadastro!D31="","",Cadastro!D31)</f>
        <v>LIZA JANE ALEXANDER FRANCA OLIVEIRA</v>
      </c>
      <c r="D8" s="27">
        <f t="array" ref="D8">SUMPRODUCT((INDEX(Antigravity!$J$15:$AD$40,,$B8)&lt;&gt;"")*(INDEX(Antigravity!$J$15:$AD$40,,$B8)&lt;&gt;"N/A"))</f>
        <v>24</v>
      </c>
      <c r="E8" s="31">
        <v>12.0</v>
      </c>
      <c r="F8" s="27">
        <f t="shared" si="1"/>
        <v>12</v>
      </c>
      <c r="G8" s="8">
        <f>COUNTIFS(Antigravity!$I$15:$I$40,"C",OFFSET(Antigravity!$J$15:$J$40,0,ROW(A7)-1),"A")</f>
        <v>12</v>
      </c>
      <c r="H8" s="27">
        <f>COUNTIFS(Antigravity!$I$15:$I$40,"D",OFFSET(Antigravity!$J$15:$J$40, 0, ROW(A7)-1),"A")</f>
        <v>12</v>
      </c>
      <c r="I8" s="33">
        <f t="shared" si="2"/>
        <v>100</v>
      </c>
      <c r="J8" s="35"/>
      <c r="K8" s="37">
        <v>7.0</v>
      </c>
      <c r="L8" s="39" t="str">
        <f t="shared" si="3"/>
        <v>LIZA JANE ALEXANDER FRANCA OLIVEIRA</v>
      </c>
      <c r="M8" s="40">
        <f t="shared" si="4"/>
        <v>100</v>
      </c>
      <c r="N8" s="40" t="str">
        <f t="shared" si="8"/>
        <v/>
      </c>
      <c r="O8" s="40" t="str">
        <f t="shared" si="9"/>
        <v/>
      </c>
      <c r="P8" s="40" t="str">
        <f t="shared" si="5"/>
        <v/>
      </c>
      <c r="Q8" s="40" t="str">
        <f t="shared" si="10"/>
        <v/>
      </c>
      <c r="R8" s="40" t="str">
        <f t="shared" si="11"/>
        <v/>
      </c>
      <c r="S8" s="40" t="str">
        <f t="shared" si="6"/>
        <v/>
      </c>
      <c r="T8" s="40" t="str">
        <f t="shared" si="12"/>
        <v/>
      </c>
      <c r="U8" s="40" t="str">
        <f t="shared" si="13"/>
        <v/>
      </c>
      <c r="V8" s="40" t="str">
        <f t="shared" si="14"/>
        <v/>
      </c>
      <c r="W8" s="53">
        <f t="shared" si="7"/>
        <v>100</v>
      </c>
    </row>
    <row r="9">
      <c r="A9" s="54"/>
      <c r="B9" s="27">
        <v>8.0</v>
      </c>
      <c r="C9" s="29" t="str">
        <f>IF(Cadastro!D32="","",Cadastro!D32)</f>
        <v>NILDEVANIA VASCONCELOS de MELO SOUZA</v>
      </c>
      <c r="D9" s="27">
        <f t="array" ref="D9">SUMPRODUCT((INDEX(Antigravity!$J$15:$AD$40,,$B9)&lt;&gt;"")*(INDEX(Antigravity!$J$15:$AD$40,,$B9)&lt;&gt;"N/A"))</f>
        <v>24</v>
      </c>
      <c r="E9" s="31">
        <v>12.0</v>
      </c>
      <c r="F9" s="27">
        <f t="shared" si="1"/>
        <v>12</v>
      </c>
      <c r="G9" s="8">
        <f>COUNTIFS(Antigravity!$I$15:$I$40,"C",OFFSET(Antigravity!$J$15:$J$40,0,ROW(A8)-1),"A")</f>
        <v>12</v>
      </c>
      <c r="H9" s="27">
        <f>COUNTIFS(Antigravity!$I$15:$I$40,"D",OFFSET(Antigravity!$J$15:$J$40, 0, ROW(A8)-1),"A")</f>
        <v>12</v>
      </c>
      <c r="I9" s="33">
        <f t="shared" si="2"/>
        <v>100</v>
      </c>
      <c r="J9" s="35"/>
      <c r="K9" s="37">
        <v>8.0</v>
      </c>
      <c r="L9" s="39" t="str">
        <f t="shared" si="3"/>
        <v>NILDEVANIA VASCONCELOS de MELO SOUZA</v>
      </c>
      <c r="M9" s="40">
        <f t="shared" si="4"/>
        <v>100</v>
      </c>
      <c r="N9" s="40" t="str">
        <f t="shared" si="8"/>
        <v/>
      </c>
      <c r="O9" s="40" t="str">
        <f t="shared" si="9"/>
        <v/>
      </c>
      <c r="P9" s="40" t="str">
        <f t="shared" si="5"/>
        <v/>
      </c>
      <c r="Q9" s="40" t="str">
        <f t="shared" si="10"/>
        <v/>
      </c>
      <c r="R9" s="40" t="str">
        <f t="shared" si="11"/>
        <v/>
      </c>
      <c r="S9" s="40" t="str">
        <f t="shared" si="6"/>
        <v/>
      </c>
      <c r="T9" s="40" t="str">
        <f t="shared" si="12"/>
        <v/>
      </c>
      <c r="U9" s="40" t="str">
        <f t="shared" si="13"/>
        <v/>
      </c>
      <c r="V9" s="40" t="str">
        <f t="shared" si="14"/>
        <v/>
      </c>
      <c r="W9" s="53">
        <f t="shared" si="7"/>
        <v>100</v>
      </c>
    </row>
    <row r="10">
      <c r="A10" s="54"/>
      <c r="B10" s="27">
        <v>9.0</v>
      </c>
      <c r="C10" s="29" t="str">
        <f>IF(Cadastro!D33="","",Cadastro!D33)</f>
        <v>OSWALDO DA SILVA BARBOSA DOS SANTOS</v>
      </c>
      <c r="D10" s="27">
        <f t="array" ref="D10">SUMPRODUCT((INDEX(Antigravity!$J$15:$AD$40,,$B10)&lt;&gt;"")*(INDEX(Antigravity!$J$15:$AD$40,,$B10)&lt;&gt;"N/A"))</f>
        <v>24</v>
      </c>
      <c r="E10" s="31">
        <v>12.0</v>
      </c>
      <c r="F10" s="27">
        <f t="shared" si="1"/>
        <v>12</v>
      </c>
      <c r="G10" s="8">
        <f>COUNTIFS(Antigravity!$I$15:$I$40,"C",OFFSET(Antigravity!$J$15:$J$40,0,ROW(A9)-1),"A")</f>
        <v>12</v>
      </c>
      <c r="H10" s="27">
        <f>COUNTIFS(Antigravity!$I$15:$I$40,"D",OFFSET(Antigravity!$J$15:$J$40, 0, ROW(A9)-1),"A")</f>
        <v>12</v>
      </c>
      <c r="I10" s="33">
        <f t="shared" si="2"/>
        <v>100</v>
      </c>
      <c r="J10" s="35"/>
      <c r="K10" s="37">
        <v>9.0</v>
      </c>
      <c r="L10" s="39" t="str">
        <f t="shared" si="3"/>
        <v>OSWALDO DA SILVA BARBOSA DOS SANTOS</v>
      </c>
      <c r="M10" s="40">
        <f t="shared" si="4"/>
        <v>100</v>
      </c>
      <c r="N10" s="40" t="str">
        <f t="shared" si="8"/>
        <v/>
      </c>
      <c r="O10" s="40" t="str">
        <f t="shared" si="9"/>
        <v/>
      </c>
      <c r="P10" s="40" t="str">
        <f t="shared" si="5"/>
        <v/>
      </c>
      <c r="Q10" s="40" t="str">
        <f t="shared" si="10"/>
        <v/>
      </c>
      <c r="R10" s="40" t="str">
        <f t="shared" si="11"/>
        <v/>
      </c>
      <c r="S10" s="40" t="str">
        <f t="shared" si="6"/>
        <v/>
      </c>
      <c r="T10" s="40" t="str">
        <f t="shared" si="12"/>
        <v/>
      </c>
      <c r="U10" s="40" t="str">
        <f t="shared" si="13"/>
        <v/>
      </c>
      <c r="V10" s="40" t="str">
        <f t="shared" si="14"/>
        <v/>
      </c>
      <c r="W10" s="53">
        <f t="shared" si="7"/>
        <v>100</v>
      </c>
    </row>
    <row r="11">
      <c r="A11" s="54"/>
      <c r="B11" s="27">
        <v>10.0</v>
      </c>
      <c r="C11" s="29" t="str">
        <f>IF(Cadastro!D34="","",Cadastro!D34)</f>
        <v>TIAGO DA SILVA FERREIRA NEVES</v>
      </c>
      <c r="D11" s="27">
        <f t="array" ref="D11">SUMPRODUCT((INDEX(Antigravity!$J$15:$AD$40,,$B11)&lt;&gt;"")*(INDEX(Antigravity!$J$15:$AD$40,,$B11)&lt;&gt;"N/A"))</f>
        <v>24</v>
      </c>
      <c r="E11" s="31">
        <v>12.0</v>
      </c>
      <c r="F11" s="27">
        <f t="shared" si="1"/>
        <v>12</v>
      </c>
      <c r="G11" s="8">
        <f>COUNTIFS(Antigravity!$I$15:$I$40,"C",OFFSET(Antigravity!$J$15:$J$40,0,ROW(A10)-1),"A")</f>
        <v>12</v>
      </c>
      <c r="H11" s="27">
        <f>COUNTIFS(Antigravity!$I$15:$I$40,"D",OFFSET(Antigravity!$J$15:$J$40, 0, ROW(A10)-1),"A")</f>
        <v>12</v>
      </c>
      <c r="I11" s="33">
        <f t="shared" si="2"/>
        <v>100</v>
      </c>
      <c r="J11" s="35"/>
      <c r="K11" s="37">
        <v>10.0</v>
      </c>
      <c r="L11" s="39" t="str">
        <f t="shared" si="3"/>
        <v>TIAGO DA SILVA FERREIRA NEVES</v>
      </c>
      <c r="M11" s="40">
        <f t="shared" si="4"/>
        <v>100</v>
      </c>
      <c r="N11" s="40" t="str">
        <f t="shared" si="8"/>
        <v/>
      </c>
      <c r="O11" s="40" t="str">
        <f t="shared" si="9"/>
        <v/>
      </c>
      <c r="P11" s="40" t="str">
        <f t="shared" si="5"/>
        <v/>
      </c>
      <c r="Q11" s="40" t="str">
        <f t="shared" si="10"/>
        <v/>
      </c>
      <c r="R11" s="40" t="str">
        <f t="shared" si="11"/>
        <v/>
      </c>
      <c r="S11" s="40" t="str">
        <f t="shared" si="6"/>
        <v/>
      </c>
      <c r="T11" s="40" t="str">
        <f t="shared" si="12"/>
        <v/>
      </c>
      <c r="U11" s="40" t="str">
        <f t="shared" si="13"/>
        <v/>
      </c>
      <c r="V11" s="40" t="str">
        <f t="shared" si="14"/>
        <v/>
      </c>
      <c r="W11" s="53">
        <f t="shared" si="7"/>
        <v>100</v>
      </c>
    </row>
    <row r="12">
      <c r="A12" s="54"/>
      <c r="B12" s="27">
        <v>11.0</v>
      </c>
      <c r="C12" s="29" t="str">
        <f>IF(Cadastro!D35="","",Cadastro!D35)</f>
        <v/>
      </c>
      <c r="D12" s="27">
        <f t="array" ref="D12">SUMPRODUCT((INDEX(Antigravity!$J$15:$AD$40,,$B12)&lt;&gt;"")*(INDEX(Antigravity!$J$15:$AD$40,,$B12)&lt;&gt;"N/A"))</f>
        <v>0</v>
      </c>
      <c r="E12" s="31">
        <v>12.0</v>
      </c>
      <c r="F12" s="27">
        <f t="shared" si="1"/>
        <v>-12</v>
      </c>
      <c r="G12" s="8">
        <f>COUNTIFS(Antigravity!$I$15:$I$40,"C",OFFSET(Antigravity!$J$15:$J$40,0,ROW(A11)-1),"A")</f>
        <v>0</v>
      </c>
      <c r="H12" s="27">
        <f>COUNTIFS(Antigravity!$I$15:$I$40,"D",OFFSET(Antigravity!$J$15:$J$40, 0, ROW(A11)-1),"A")</f>
        <v>0</v>
      </c>
      <c r="I12" s="33">
        <f t="shared" si="2"/>
        <v>0</v>
      </c>
      <c r="J12" s="35"/>
      <c r="K12" s="37">
        <v>11.0</v>
      </c>
      <c r="L12" s="39" t="str">
        <f t="shared" si="3"/>
        <v/>
      </c>
      <c r="M12" s="40" t="str">
        <f t="shared" si="4"/>
        <v/>
      </c>
      <c r="N12" s="40" t="str">
        <f t="shared" si="8"/>
        <v/>
      </c>
      <c r="O12" s="40" t="str">
        <f t="shared" si="9"/>
        <v/>
      </c>
      <c r="P12" s="40" t="str">
        <f t="shared" si="5"/>
        <v/>
      </c>
      <c r="Q12" s="40" t="str">
        <f t="shared" si="10"/>
        <v/>
      </c>
      <c r="R12" s="40" t="str">
        <f t="shared" si="11"/>
        <v/>
      </c>
      <c r="S12" s="40" t="str">
        <f t="shared" si="6"/>
        <v/>
      </c>
      <c r="T12" s="40" t="str">
        <f t="shared" si="12"/>
        <v/>
      </c>
      <c r="U12" s="40" t="str">
        <f t="shared" si="13"/>
        <v/>
      </c>
      <c r="V12" s="40" t="str">
        <f t="shared" si="14"/>
        <v/>
      </c>
      <c r="W12" s="53" t="str">
        <f t="shared" si="7"/>
        <v/>
      </c>
    </row>
    <row r="13">
      <c r="A13" s="54"/>
      <c r="B13" s="27">
        <v>12.0</v>
      </c>
      <c r="C13" s="29" t="str">
        <f>IF(Cadastro!D36="","",Cadastro!D36)</f>
        <v/>
      </c>
      <c r="D13" s="27">
        <f t="array" ref="D13">SUMPRODUCT((INDEX(Antigravity!$J$15:$AD$40,,$B13)&lt;&gt;"")*(INDEX(Antigravity!$J$15:$AD$40,,$B13)&lt;&gt;"N/A"))</f>
        <v>0</v>
      </c>
      <c r="E13" s="31">
        <v>12.0</v>
      </c>
      <c r="F13" s="27">
        <f t="shared" si="1"/>
        <v>-12</v>
      </c>
      <c r="G13" s="8">
        <f>COUNTIFS(Antigravity!$I$15:$I$40,"C",OFFSET(Antigravity!$J$15:$J$40,0,ROW(A12)-1),"A")</f>
        <v>0</v>
      </c>
      <c r="H13" s="27">
        <f>COUNTIFS(Antigravity!$I$15:$I$40,"D",OFFSET(Antigravity!$J$15:$J$40, 0, ROW(A12)-1),"A")</f>
        <v>0</v>
      </c>
      <c r="I13" s="33">
        <f t="shared" si="2"/>
        <v>0</v>
      </c>
      <c r="J13" s="35"/>
      <c r="K13" s="37">
        <v>12.0</v>
      </c>
      <c r="L13" s="39" t="str">
        <f t="shared" si="3"/>
        <v/>
      </c>
      <c r="M13" s="40" t="str">
        <f t="shared" si="4"/>
        <v/>
      </c>
      <c r="N13" s="40" t="str">
        <f t="shared" si="8"/>
        <v/>
      </c>
      <c r="O13" s="40" t="str">
        <f t="shared" si="9"/>
        <v/>
      </c>
      <c r="P13" s="40" t="str">
        <f t="shared" si="5"/>
        <v/>
      </c>
      <c r="Q13" s="40" t="str">
        <f t="shared" si="10"/>
        <v/>
      </c>
      <c r="R13" s="40" t="str">
        <f t="shared" si="11"/>
        <v/>
      </c>
      <c r="S13" s="40" t="str">
        <f t="shared" si="6"/>
        <v/>
      </c>
      <c r="T13" s="40" t="str">
        <f t="shared" si="12"/>
        <v/>
      </c>
      <c r="U13" s="40" t="str">
        <f t="shared" si="13"/>
        <v/>
      </c>
      <c r="V13" s="40" t="str">
        <f t="shared" si="14"/>
        <v/>
      </c>
      <c r="W13" s="53" t="str">
        <f t="shared" si="7"/>
        <v/>
      </c>
    </row>
    <row r="14">
      <c r="A14" s="54"/>
      <c r="B14" s="27">
        <v>13.0</v>
      </c>
      <c r="C14" s="29" t="str">
        <f>IF(Cadastro!D37="","",Cadastro!D37)</f>
        <v/>
      </c>
      <c r="D14" s="27">
        <f t="array" ref="D14">SUMPRODUCT((INDEX(Antigravity!$J$15:$AD$40,,$B14)&lt;&gt;"")*(INDEX(Antigravity!$J$15:$AD$40,,$B14)&lt;&gt;"N/A"))</f>
        <v>0</v>
      </c>
      <c r="E14" s="31">
        <v>12.0</v>
      </c>
      <c r="F14" s="27">
        <f t="shared" si="1"/>
        <v>-12</v>
      </c>
      <c r="G14" s="8">
        <f>COUNTIFS(Antigravity!$I$15:$I$40,"C",OFFSET(Antigravity!$J$15:$J$40,0,ROW(A13)-1),"A")</f>
        <v>0</v>
      </c>
      <c r="H14" s="27">
        <f>COUNTIFS(Antigravity!$I$15:$I$40,"D",OFFSET(Antigravity!$J$15:$J$40, 0, ROW(A13)-1),"A")</f>
        <v>0</v>
      </c>
      <c r="I14" s="33">
        <f t="shared" si="2"/>
        <v>0</v>
      </c>
      <c r="J14" s="35"/>
      <c r="K14" s="37">
        <v>13.0</v>
      </c>
      <c r="L14" s="39" t="str">
        <f t="shared" si="3"/>
        <v/>
      </c>
      <c r="M14" s="40" t="str">
        <f t="shared" si="4"/>
        <v/>
      </c>
      <c r="N14" s="40" t="str">
        <f t="shared" si="8"/>
        <v/>
      </c>
      <c r="O14" s="40" t="str">
        <f t="shared" si="9"/>
        <v/>
      </c>
      <c r="P14" s="40" t="str">
        <f t="shared" si="5"/>
        <v/>
      </c>
      <c r="Q14" s="40" t="str">
        <f t="shared" si="10"/>
        <v/>
      </c>
      <c r="R14" s="40" t="str">
        <f t="shared" si="11"/>
        <v/>
      </c>
      <c r="S14" s="40" t="str">
        <f t="shared" si="6"/>
        <v/>
      </c>
      <c r="T14" s="40" t="str">
        <f t="shared" si="12"/>
        <v/>
      </c>
      <c r="U14" s="40" t="str">
        <f t="shared" si="13"/>
        <v/>
      </c>
      <c r="V14" s="40" t="str">
        <f t="shared" si="14"/>
        <v/>
      </c>
      <c r="W14" s="53" t="str">
        <f t="shared" si="7"/>
        <v/>
      </c>
    </row>
    <row r="15">
      <c r="A15" s="54"/>
      <c r="B15" s="27">
        <v>14.0</v>
      </c>
      <c r="C15" s="29" t="str">
        <f>IF(Cadastro!D38="","",Cadastro!D38)</f>
        <v/>
      </c>
      <c r="D15" s="27">
        <f t="array" ref="D15">SUMPRODUCT((INDEX(Antigravity!$J$15:$AD$40,,$B15)&lt;&gt;"")*(INDEX(Antigravity!$J$15:$AD$40,,$B15)&lt;&gt;"N/A"))</f>
        <v>0</v>
      </c>
      <c r="E15" s="31">
        <v>12.0</v>
      </c>
      <c r="F15" s="27">
        <f t="shared" si="1"/>
        <v>-12</v>
      </c>
      <c r="G15" s="8">
        <f>COUNTIFS(Antigravity!$I$15:$I$40,"C",OFFSET(Antigravity!$J$15:$J$40,0,ROW(A14)-1),"A")</f>
        <v>0</v>
      </c>
      <c r="H15" s="27">
        <f>COUNTIFS(Antigravity!$I$15:$I$40,"D",OFFSET(Antigravity!$J$15:$J$40, 0, ROW(A14)-1),"A")</f>
        <v>0</v>
      </c>
      <c r="I15" s="33">
        <f t="shared" si="2"/>
        <v>0</v>
      </c>
      <c r="J15" s="35"/>
      <c r="K15" s="37">
        <v>14.0</v>
      </c>
      <c r="L15" s="39" t="str">
        <f t="shared" si="3"/>
        <v/>
      </c>
      <c r="M15" s="40" t="str">
        <f t="shared" si="4"/>
        <v/>
      </c>
      <c r="N15" s="40" t="str">
        <f t="shared" si="8"/>
        <v/>
      </c>
      <c r="O15" s="40" t="str">
        <f t="shared" si="9"/>
        <v/>
      </c>
      <c r="P15" s="40" t="str">
        <f t="shared" si="5"/>
        <v/>
      </c>
      <c r="Q15" s="40" t="str">
        <f t="shared" si="10"/>
        <v/>
      </c>
      <c r="R15" s="40" t="str">
        <f t="shared" si="11"/>
        <v/>
      </c>
      <c r="S15" s="40" t="str">
        <f t="shared" si="6"/>
        <v/>
      </c>
      <c r="T15" s="40" t="str">
        <f t="shared" si="12"/>
        <v/>
      </c>
      <c r="U15" s="40" t="str">
        <f t="shared" si="13"/>
        <v/>
      </c>
      <c r="V15" s="40" t="str">
        <f t="shared" si="14"/>
        <v/>
      </c>
      <c r="W15" s="53" t="str">
        <f t="shared" si="7"/>
        <v/>
      </c>
    </row>
    <row r="16">
      <c r="A16" s="54"/>
      <c r="B16" s="27">
        <v>15.0</v>
      </c>
      <c r="C16" s="29" t="str">
        <f>IF(Cadastro!D39="","",Cadastro!D39)</f>
        <v/>
      </c>
      <c r="D16" s="27"/>
      <c r="E16" s="31"/>
      <c r="F16" s="27"/>
      <c r="G16" s="8"/>
      <c r="H16" s="27"/>
      <c r="I16" s="33"/>
      <c r="J16" s="35"/>
      <c r="K16" s="37">
        <v>15.0</v>
      </c>
      <c r="L16" s="39" t="str">
        <f t="shared" si="3"/>
        <v/>
      </c>
      <c r="M16" s="40" t="str">
        <f t="shared" si="4"/>
        <v/>
      </c>
      <c r="N16" s="40" t="str">
        <f t="shared" si="8"/>
        <v/>
      </c>
      <c r="O16" s="40" t="str">
        <f t="shared" si="9"/>
        <v/>
      </c>
      <c r="P16" s="40" t="str">
        <f t="shared" si="5"/>
        <v/>
      </c>
      <c r="Q16" s="40" t="str">
        <f t="shared" si="10"/>
        <v/>
      </c>
      <c r="R16" s="40" t="str">
        <f t="shared" si="11"/>
        <v/>
      </c>
      <c r="S16" s="40" t="str">
        <f t="shared" si="6"/>
        <v/>
      </c>
      <c r="T16" s="40" t="str">
        <f t="shared" si="12"/>
        <v/>
      </c>
      <c r="U16" s="40" t="str">
        <f t="shared" si="13"/>
        <v/>
      </c>
      <c r="V16" s="40" t="str">
        <f t="shared" si="14"/>
        <v/>
      </c>
      <c r="W16" s="53" t="str">
        <f t="shared" si="7"/>
        <v/>
      </c>
    </row>
    <row r="17">
      <c r="A17" s="54"/>
      <c r="B17" s="27">
        <v>16.0</v>
      </c>
      <c r="C17" s="29" t="str">
        <f>IF(Cadastro!D40="","",Cadastro!D40)</f>
        <v/>
      </c>
      <c r="D17" s="27"/>
      <c r="E17" s="31"/>
      <c r="F17" s="27"/>
      <c r="G17" s="8"/>
      <c r="H17" s="27"/>
      <c r="I17" s="33"/>
      <c r="J17" s="35"/>
      <c r="K17" s="37">
        <v>16.0</v>
      </c>
      <c r="L17" s="39" t="str">
        <f t="shared" si="3"/>
        <v/>
      </c>
      <c r="M17" s="40" t="str">
        <f t="shared" si="4"/>
        <v/>
      </c>
      <c r="N17" s="40" t="str">
        <f t="shared" si="8"/>
        <v/>
      </c>
      <c r="O17" s="40" t="str">
        <f t="shared" si="9"/>
        <v/>
      </c>
      <c r="P17" s="40" t="str">
        <f t="shared" si="5"/>
        <v/>
      </c>
      <c r="Q17" s="40" t="str">
        <f t="shared" si="10"/>
        <v/>
      </c>
      <c r="R17" s="40" t="str">
        <f t="shared" si="11"/>
        <v/>
      </c>
      <c r="S17" s="40" t="str">
        <f t="shared" si="6"/>
        <v/>
      </c>
      <c r="T17" s="40" t="str">
        <f t="shared" si="12"/>
        <v/>
      </c>
      <c r="U17" s="40" t="str">
        <f t="shared" si="13"/>
        <v/>
      </c>
      <c r="V17" s="40" t="str">
        <f t="shared" si="14"/>
        <v/>
      </c>
      <c r="W17" s="53" t="str">
        <f t="shared" si="7"/>
        <v/>
      </c>
    </row>
    <row r="18">
      <c r="A18" s="54"/>
      <c r="B18" s="27">
        <v>17.0</v>
      </c>
      <c r="C18" s="29" t="str">
        <f>IF(Cadastro!D41="","",Cadastro!D41)</f>
        <v/>
      </c>
      <c r="D18" s="27"/>
      <c r="E18" s="31"/>
      <c r="F18" s="27"/>
      <c r="G18" s="8"/>
      <c r="H18" s="27"/>
      <c r="I18" s="33"/>
      <c r="J18" s="35"/>
      <c r="K18" s="37">
        <v>17.0</v>
      </c>
      <c r="L18" s="39" t="str">
        <f t="shared" si="3"/>
        <v/>
      </c>
      <c r="M18" s="40" t="str">
        <f t="shared" si="4"/>
        <v/>
      </c>
      <c r="N18" s="40" t="str">
        <f t="shared" si="8"/>
        <v/>
      </c>
      <c r="O18" s="40" t="str">
        <f t="shared" si="9"/>
        <v/>
      </c>
      <c r="P18" s="40" t="str">
        <f t="shared" si="5"/>
        <v/>
      </c>
      <c r="Q18" s="40" t="str">
        <f t="shared" si="10"/>
        <v/>
      </c>
      <c r="R18" s="40" t="str">
        <f t="shared" si="11"/>
        <v/>
      </c>
      <c r="S18" s="40" t="str">
        <f t="shared" si="6"/>
        <v/>
      </c>
      <c r="T18" s="40" t="str">
        <f t="shared" si="12"/>
        <v/>
      </c>
      <c r="U18" s="40" t="str">
        <f t="shared" si="13"/>
        <v/>
      </c>
      <c r="V18" s="40" t="str">
        <f t="shared" si="14"/>
        <v/>
      </c>
      <c r="W18" s="53" t="str">
        <f t="shared" si="7"/>
        <v/>
      </c>
    </row>
    <row r="19">
      <c r="A19" s="54"/>
      <c r="B19" s="27">
        <v>18.0</v>
      </c>
      <c r="C19" s="29" t="str">
        <f>IF(Cadastro!D42="","",Cadastro!D42)</f>
        <v/>
      </c>
      <c r="D19" s="27"/>
      <c r="E19" s="31"/>
      <c r="F19" s="27"/>
      <c r="G19" s="8"/>
      <c r="H19" s="27"/>
      <c r="I19" s="33"/>
      <c r="J19" s="35"/>
      <c r="K19" s="37">
        <v>18.0</v>
      </c>
      <c r="L19" s="39" t="str">
        <f t="shared" si="3"/>
        <v/>
      </c>
      <c r="M19" s="40" t="str">
        <f t="shared" si="4"/>
        <v/>
      </c>
      <c r="N19" s="40" t="str">
        <f t="shared" si="8"/>
        <v/>
      </c>
      <c r="O19" s="40" t="str">
        <f t="shared" si="9"/>
        <v/>
      </c>
      <c r="P19" s="40" t="str">
        <f t="shared" si="5"/>
        <v/>
      </c>
      <c r="Q19" s="40" t="str">
        <f t="shared" si="10"/>
        <v/>
      </c>
      <c r="R19" s="40" t="str">
        <f t="shared" si="11"/>
        <v/>
      </c>
      <c r="S19" s="40" t="str">
        <f t="shared" si="6"/>
        <v/>
      </c>
      <c r="T19" s="40" t="str">
        <f t="shared" si="12"/>
        <v/>
      </c>
      <c r="U19" s="40" t="str">
        <f t="shared" si="13"/>
        <v/>
      </c>
      <c r="V19" s="40" t="str">
        <f t="shared" si="14"/>
        <v/>
      </c>
      <c r="W19" s="53" t="str">
        <f t="shared" si="7"/>
        <v/>
      </c>
    </row>
    <row r="20">
      <c r="A20" s="54"/>
      <c r="B20" s="27">
        <v>19.0</v>
      </c>
      <c r="C20" s="29" t="str">
        <f>IF(Cadastro!D43="","",Cadastro!D43)</f>
        <v/>
      </c>
      <c r="D20" s="27"/>
      <c r="E20" s="31"/>
      <c r="F20" s="27"/>
      <c r="G20" s="8"/>
      <c r="H20" s="27"/>
      <c r="I20" s="33"/>
      <c r="J20" s="35"/>
      <c r="K20" s="37">
        <v>19.0</v>
      </c>
      <c r="L20" s="39" t="str">
        <f t="shared" si="3"/>
        <v/>
      </c>
      <c r="M20" s="40" t="str">
        <f t="shared" si="4"/>
        <v/>
      </c>
      <c r="N20" s="40" t="str">
        <f t="shared" si="8"/>
        <v/>
      </c>
      <c r="O20" s="40" t="str">
        <f t="shared" si="9"/>
        <v/>
      </c>
      <c r="P20" s="40" t="str">
        <f t="shared" si="5"/>
        <v/>
      </c>
      <c r="Q20" s="40" t="str">
        <f t="shared" si="10"/>
        <v/>
      </c>
      <c r="R20" s="40" t="str">
        <f t="shared" si="11"/>
        <v/>
      </c>
      <c r="S20" s="40" t="str">
        <f t="shared" si="6"/>
        <v/>
      </c>
      <c r="T20" s="40" t="str">
        <f t="shared" si="12"/>
        <v/>
      </c>
      <c r="U20" s="40" t="str">
        <f t="shared" si="13"/>
        <v/>
      </c>
      <c r="V20" s="40" t="str">
        <f t="shared" si="14"/>
        <v/>
      </c>
      <c r="W20" s="53" t="str">
        <f t="shared" si="7"/>
        <v/>
      </c>
    </row>
    <row r="21" ht="15.75" customHeight="1">
      <c r="A21" s="54"/>
      <c r="B21" s="27">
        <v>20.0</v>
      </c>
      <c r="C21" s="29" t="str">
        <f>IF(Cadastro!D44="","",Cadastro!D44)</f>
        <v/>
      </c>
      <c r="D21" s="27"/>
      <c r="E21" s="31"/>
      <c r="F21" s="27"/>
      <c r="G21" s="8"/>
      <c r="H21" s="27"/>
      <c r="I21" s="33"/>
      <c r="J21" s="35"/>
      <c r="K21" s="37">
        <v>20.0</v>
      </c>
      <c r="L21" s="39" t="str">
        <f t="shared" si="3"/>
        <v/>
      </c>
      <c r="M21" s="40" t="str">
        <f t="shared" si="4"/>
        <v/>
      </c>
      <c r="N21" s="40" t="str">
        <f t="shared" si="8"/>
        <v/>
      </c>
      <c r="O21" s="40" t="str">
        <f t="shared" si="9"/>
        <v/>
      </c>
      <c r="P21" s="40" t="str">
        <f t="shared" si="5"/>
        <v/>
      </c>
      <c r="Q21" s="40" t="str">
        <f t="shared" si="10"/>
        <v/>
      </c>
      <c r="R21" s="40" t="str">
        <f t="shared" si="11"/>
        <v/>
      </c>
      <c r="S21" s="40" t="str">
        <f t="shared" si="6"/>
        <v/>
      </c>
      <c r="T21" s="40" t="str">
        <f t="shared" si="12"/>
        <v/>
      </c>
      <c r="U21" s="40" t="str">
        <f t="shared" si="13"/>
        <v/>
      </c>
      <c r="V21" s="40" t="str">
        <f t="shared" si="14"/>
        <v/>
      </c>
      <c r="W21" s="53" t="str">
        <f t="shared" si="7"/>
        <v/>
      </c>
    </row>
    <row r="22" ht="15.75" customHeight="1">
      <c r="A22" s="54"/>
      <c r="B22" s="27">
        <v>21.0</v>
      </c>
      <c r="C22" s="29" t="str">
        <f>IF(Cadastro!D45="","",Cadastro!D45)</f>
        <v/>
      </c>
      <c r="D22" s="27"/>
      <c r="E22" s="31"/>
      <c r="F22" s="27"/>
      <c r="G22" s="8"/>
      <c r="H22" s="27"/>
      <c r="I22" s="33"/>
      <c r="J22" s="35"/>
      <c r="K22" s="37">
        <v>21.0</v>
      </c>
      <c r="L22" s="39" t="str">
        <f t="shared" si="3"/>
        <v/>
      </c>
      <c r="M22" s="40" t="str">
        <f t="shared" si="4"/>
        <v/>
      </c>
      <c r="N22" s="40" t="str">
        <f t="shared" si="8"/>
        <v/>
      </c>
      <c r="O22" s="40" t="str">
        <f t="shared" si="9"/>
        <v/>
      </c>
      <c r="P22" s="40" t="str">
        <f t="shared" si="5"/>
        <v/>
      </c>
      <c r="Q22" s="40" t="str">
        <f t="shared" si="10"/>
        <v/>
      </c>
      <c r="R22" s="40" t="str">
        <f t="shared" si="11"/>
        <v/>
      </c>
      <c r="S22" s="40" t="str">
        <f t="shared" si="6"/>
        <v/>
      </c>
      <c r="T22" s="40" t="str">
        <f t="shared" si="12"/>
        <v/>
      </c>
      <c r="U22" s="40" t="str">
        <f t="shared" si="13"/>
        <v/>
      </c>
      <c r="V22" s="40" t="str">
        <f t="shared" si="14"/>
        <v/>
      </c>
      <c r="W22" s="53" t="str">
        <f t="shared" si="7"/>
        <v/>
      </c>
    </row>
    <row r="23" ht="15.75" customHeight="1">
      <c r="A23" s="54"/>
      <c r="B23" s="27">
        <v>22.0</v>
      </c>
      <c r="C23" s="27" t="str">
        <f>IF(Cadastro!D46="","",Cadastro!D46)</f>
        <v/>
      </c>
      <c r="D23" s="27"/>
      <c r="E23" s="31"/>
      <c r="F23" s="27"/>
      <c r="G23" s="8"/>
      <c r="H23" s="27"/>
      <c r="I23" s="33"/>
      <c r="J23" s="35"/>
      <c r="K23" s="37">
        <v>22.0</v>
      </c>
      <c r="L23" s="39" t="str">
        <f t="shared" si="3"/>
        <v/>
      </c>
      <c r="M23" s="40" t="str">
        <f t="shared" si="4"/>
        <v/>
      </c>
      <c r="N23" s="40" t="str">
        <f t="shared" si="8"/>
        <v/>
      </c>
      <c r="O23" s="40" t="str">
        <f t="shared" si="9"/>
        <v/>
      </c>
      <c r="P23" s="40" t="str">
        <f t="shared" si="5"/>
        <v/>
      </c>
      <c r="Q23" s="40" t="str">
        <f t="shared" si="10"/>
        <v/>
      </c>
      <c r="R23" s="40" t="str">
        <f t="shared" si="11"/>
        <v/>
      </c>
      <c r="S23" s="40" t="str">
        <f t="shared" si="6"/>
        <v/>
      </c>
      <c r="T23" s="40" t="str">
        <f t="shared" si="12"/>
        <v/>
      </c>
      <c r="U23" s="40" t="str">
        <f t="shared" si="13"/>
        <v/>
      </c>
      <c r="V23" s="40" t="str">
        <f t="shared" si="14"/>
        <v/>
      </c>
      <c r="W23" s="53" t="str">
        <f t="shared" si="7"/>
        <v/>
      </c>
    </row>
    <row r="24" ht="15.75" customHeight="1">
      <c r="A24" s="54"/>
      <c r="B24" s="27">
        <v>23.0</v>
      </c>
      <c r="C24" s="27" t="str">
        <f>IF(Cadastro!D47="","",Cadastro!D47)</f>
        <v/>
      </c>
      <c r="D24" s="27"/>
      <c r="E24" s="31"/>
      <c r="F24" s="27"/>
      <c r="G24" s="8"/>
      <c r="H24" s="27"/>
      <c r="I24" s="33"/>
      <c r="J24" s="35"/>
      <c r="K24" s="37">
        <v>23.0</v>
      </c>
      <c r="L24" s="39" t="str">
        <f t="shared" si="3"/>
        <v/>
      </c>
      <c r="M24" s="40" t="str">
        <f t="shared" si="4"/>
        <v/>
      </c>
      <c r="N24" s="40" t="str">
        <f t="shared" si="8"/>
        <v/>
      </c>
      <c r="O24" s="40" t="str">
        <f t="shared" si="9"/>
        <v/>
      </c>
      <c r="P24" s="40" t="str">
        <f t="shared" si="5"/>
        <v/>
      </c>
      <c r="Q24" s="40" t="str">
        <f t="shared" si="10"/>
        <v/>
      </c>
      <c r="R24" s="40" t="str">
        <f t="shared" si="11"/>
        <v/>
      </c>
      <c r="S24" s="40" t="str">
        <f t="shared" si="6"/>
        <v/>
      </c>
      <c r="T24" s="40" t="str">
        <f t="shared" si="12"/>
        <v/>
      </c>
      <c r="U24" s="40" t="str">
        <f t="shared" si="13"/>
        <v/>
      </c>
      <c r="V24" s="40" t="str">
        <f t="shared" si="14"/>
        <v/>
      </c>
      <c r="W24" s="53" t="str">
        <f t="shared" si="7"/>
        <v/>
      </c>
    </row>
    <row r="25" ht="15.75" customHeight="1">
      <c r="A25" s="54"/>
      <c r="B25" s="27">
        <v>24.0</v>
      </c>
      <c r="C25" s="27" t="str">
        <f>IF(Cadastro!D48="","",Cadastro!D48)</f>
        <v/>
      </c>
      <c r="D25" s="27"/>
      <c r="E25" s="31"/>
      <c r="F25" s="27"/>
      <c r="G25" s="8"/>
      <c r="H25" s="27"/>
      <c r="I25" s="33"/>
      <c r="J25" s="35"/>
      <c r="K25" s="37">
        <v>24.0</v>
      </c>
      <c r="L25" s="39" t="str">
        <f t="shared" si="3"/>
        <v/>
      </c>
      <c r="M25" s="40" t="str">
        <f t="shared" si="4"/>
        <v/>
      </c>
      <c r="N25" s="40" t="str">
        <f t="shared" si="8"/>
        <v/>
      </c>
      <c r="O25" s="40" t="str">
        <f t="shared" si="9"/>
        <v/>
      </c>
      <c r="P25" s="40" t="str">
        <f t="shared" si="5"/>
        <v/>
      </c>
      <c r="Q25" s="40" t="str">
        <f t="shared" si="10"/>
        <v/>
      </c>
      <c r="R25" s="40" t="str">
        <f t="shared" si="11"/>
        <v/>
      </c>
      <c r="S25" s="40" t="str">
        <f t="shared" si="6"/>
        <v/>
      </c>
      <c r="T25" s="40" t="str">
        <f t="shared" si="12"/>
        <v/>
      </c>
      <c r="U25" s="40" t="str">
        <f t="shared" si="13"/>
        <v/>
      </c>
      <c r="V25" s="40" t="str">
        <f t="shared" si="14"/>
        <v/>
      </c>
      <c r="W25" s="53" t="str">
        <f t="shared" si="7"/>
        <v/>
      </c>
    </row>
    <row r="26" ht="15.75" customHeight="1">
      <c r="A26" s="54"/>
      <c r="B26" s="27">
        <v>25.0</v>
      </c>
      <c r="C26" s="27" t="str">
        <f>IF(Cadastro!D49="","",Cadastro!D49)</f>
        <v/>
      </c>
      <c r="D26" s="27"/>
      <c r="E26" s="31"/>
      <c r="F26" s="27"/>
      <c r="G26" s="8"/>
      <c r="H26" s="27"/>
      <c r="I26" s="33"/>
      <c r="J26" s="35"/>
      <c r="K26" s="37">
        <v>25.0</v>
      </c>
      <c r="L26" s="39" t="str">
        <f t="shared" si="3"/>
        <v/>
      </c>
      <c r="M26" s="40" t="str">
        <f t="shared" si="4"/>
        <v/>
      </c>
      <c r="N26" s="40" t="str">
        <f t="shared" si="8"/>
        <v/>
      </c>
      <c r="O26" s="40" t="str">
        <f t="shared" si="9"/>
        <v/>
      </c>
      <c r="P26" s="40" t="str">
        <f t="shared" si="5"/>
        <v/>
      </c>
      <c r="Q26" s="40" t="str">
        <f t="shared" si="10"/>
        <v/>
      </c>
      <c r="R26" s="40" t="str">
        <f t="shared" si="11"/>
        <v/>
      </c>
      <c r="S26" s="40" t="str">
        <f t="shared" si="6"/>
        <v/>
      </c>
      <c r="T26" s="40" t="str">
        <f t="shared" si="12"/>
        <v/>
      </c>
      <c r="U26" s="40" t="str">
        <f t="shared" si="13"/>
        <v/>
      </c>
      <c r="V26" s="40" t="str">
        <f t="shared" si="14"/>
        <v/>
      </c>
      <c r="W26" s="53" t="str">
        <f t="shared" si="7"/>
        <v/>
      </c>
    </row>
    <row r="27" ht="15.75" customHeight="1">
      <c r="A27" s="54"/>
      <c r="B27" s="27">
        <v>26.0</v>
      </c>
      <c r="C27" s="27" t="str">
        <f>IF(Cadastro!D50="","",Cadastro!D50)</f>
        <v/>
      </c>
      <c r="D27" s="27"/>
      <c r="E27" s="31"/>
      <c r="F27" s="27"/>
      <c r="G27" s="8"/>
      <c r="H27" s="27"/>
      <c r="I27" s="33"/>
      <c r="J27" s="35"/>
      <c r="K27" s="37">
        <v>26.0</v>
      </c>
      <c r="L27" s="39" t="str">
        <f t="shared" si="3"/>
        <v/>
      </c>
      <c r="M27" s="40" t="str">
        <f t="shared" si="4"/>
        <v/>
      </c>
      <c r="N27" s="40" t="str">
        <f t="shared" si="8"/>
        <v/>
      </c>
      <c r="O27" s="40" t="str">
        <f t="shared" si="9"/>
        <v/>
      </c>
      <c r="P27" s="40" t="str">
        <f t="shared" si="5"/>
        <v/>
      </c>
      <c r="Q27" s="40" t="str">
        <f t="shared" si="10"/>
        <v/>
      </c>
      <c r="R27" s="40" t="str">
        <f t="shared" si="11"/>
        <v/>
      </c>
      <c r="S27" s="40" t="str">
        <f t="shared" si="6"/>
        <v/>
      </c>
      <c r="T27" s="40" t="str">
        <f t="shared" si="12"/>
        <v/>
      </c>
      <c r="U27" s="40" t="str">
        <f t="shared" si="13"/>
        <v/>
      </c>
      <c r="V27" s="40" t="str">
        <f t="shared" si="14"/>
        <v/>
      </c>
      <c r="W27" s="53" t="str">
        <f t="shared" si="7"/>
        <v/>
      </c>
    </row>
    <row r="28" ht="15.75" customHeight="1">
      <c r="A28" s="54"/>
      <c r="B28" s="27">
        <v>27.0</v>
      </c>
      <c r="C28" s="27" t="str">
        <f>IF(Cadastro!D51="","",Cadastro!D51)</f>
        <v/>
      </c>
      <c r="D28" s="27"/>
      <c r="E28" s="31"/>
      <c r="F28" s="27"/>
      <c r="G28" s="8"/>
      <c r="H28" s="27"/>
      <c r="I28" s="33"/>
      <c r="J28" s="35"/>
      <c r="K28" s="37">
        <v>27.0</v>
      </c>
      <c r="L28" s="39" t="str">
        <f t="shared" si="3"/>
        <v/>
      </c>
      <c r="M28" s="40" t="str">
        <f t="shared" si="4"/>
        <v/>
      </c>
      <c r="N28" s="40" t="str">
        <f t="shared" si="8"/>
        <v/>
      </c>
      <c r="O28" s="40" t="str">
        <f t="shared" si="9"/>
        <v/>
      </c>
      <c r="P28" s="40" t="str">
        <f t="shared" si="5"/>
        <v/>
      </c>
      <c r="Q28" s="40" t="str">
        <f t="shared" si="10"/>
        <v/>
      </c>
      <c r="R28" s="40" t="str">
        <f t="shared" si="11"/>
        <v/>
      </c>
      <c r="S28" s="40" t="str">
        <f t="shared" si="6"/>
        <v/>
      </c>
      <c r="T28" s="40" t="str">
        <f t="shared" si="12"/>
        <v/>
      </c>
      <c r="U28" s="40" t="str">
        <f t="shared" si="13"/>
        <v/>
      </c>
      <c r="V28" s="40" t="str">
        <f t="shared" si="14"/>
        <v/>
      </c>
      <c r="W28" s="53" t="str">
        <f t="shared" si="7"/>
        <v/>
      </c>
    </row>
    <row r="29" ht="15.75" customHeight="1">
      <c r="A29" s="54"/>
      <c r="B29" s="27">
        <v>28.0</v>
      </c>
      <c r="C29" s="27" t="str">
        <f>IF(Cadastro!D52="","",Cadastro!D52)</f>
        <v/>
      </c>
      <c r="D29" s="27"/>
      <c r="E29" s="31"/>
      <c r="F29" s="27"/>
      <c r="G29" s="8"/>
      <c r="H29" s="27"/>
      <c r="I29" s="33"/>
      <c r="J29" s="35"/>
      <c r="K29" s="37">
        <v>28.0</v>
      </c>
      <c r="L29" s="39" t="str">
        <f t="shared" si="3"/>
        <v/>
      </c>
      <c r="M29" s="40" t="str">
        <f t="shared" si="4"/>
        <v/>
      </c>
      <c r="N29" s="40" t="str">
        <f t="shared" si="8"/>
        <v/>
      </c>
      <c r="O29" s="40" t="str">
        <f t="shared" si="9"/>
        <v/>
      </c>
      <c r="P29" s="40" t="str">
        <f t="shared" si="5"/>
        <v/>
      </c>
      <c r="Q29" s="40" t="str">
        <f t="shared" si="10"/>
        <v/>
      </c>
      <c r="R29" s="40" t="str">
        <f t="shared" si="11"/>
        <v/>
      </c>
      <c r="S29" s="40" t="str">
        <f t="shared" si="6"/>
        <v/>
      </c>
      <c r="T29" s="40" t="str">
        <f t="shared" si="12"/>
        <v/>
      </c>
      <c r="U29" s="40" t="str">
        <f t="shared" si="13"/>
        <v/>
      </c>
      <c r="V29" s="40" t="str">
        <f t="shared" si="14"/>
        <v/>
      </c>
      <c r="W29" s="53" t="str">
        <f t="shared" si="7"/>
        <v/>
      </c>
    </row>
    <row r="30" ht="15.75" customHeight="1">
      <c r="A30" s="54"/>
      <c r="B30" s="27">
        <v>29.0</v>
      </c>
      <c r="C30" s="27" t="str">
        <f>IF(Cadastro!D53="","",Cadastro!D53)</f>
        <v/>
      </c>
      <c r="D30" s="27"/>
      <c r="E30" s="31"/>
      <c r="F30" s="27"/>
      <c r="G30" s="8"/>
      <c r="H30" s="27"/>
      <c r="I30" s="33"/>
      <c r="J30" s="35"/>
      <c r="K30" s="37">
        <v>29.0</v>
      </c>
      <c r="L30" s="39" t="str">
        <f t="shared" si="3"/>
        <v/>
      </c>
      <c r="M30" s="40" t="str">
        <f t="shared" si="4"/>
        <v/>
      </c>
      <c r="N30" s="40" t="str">
        <f t="shared" si="8"/>
        <v/>
      </c>
      <c r="O30" s="40" t="str">
        <f t="shared" si="9"/>
        <v/>
      </c>
      <c r="P30" s="40" t="str">
        <f t="shared" si="5"/>
        <v/>
      </c>
      <c r="Q30" s="40" t="str">
        <f t="shared" si="10"/>
        <v/>
      </c>
      <c r="R30" s="40" t="str">
        <f t="shared" si="11"/>
        <v/>
      </c>
      <c r="S30" s="40" t="str">
        <f t="shared" si="6"/>
        <v/>
      </c>
      <c r="T30" s="40" t="str">
        <f t="shared" si="12"/>
        <v/>
      </c>
      <c r="U30" s="40" t="str">
        <f t="shared" si="13"/>
        <v/>
      </c>
      <c r="V30" s="40" t="str">
        <f t="shared" si="14"/>
        <v/>
      </c>
      <c r="W30" s="53" t="str">
        <f t="shared" si="7"/>
        <v/>
      </c>
    </row>
    <row r="31" ht="15.75" customHeight="1">
      <c r="A31" s="54"/>
      <c r="B31" s="27">
        <v>30.0</v>
      </c>
      <c r="C31" s="27" t="str">
        <f>IF(Cadastro!D54="","",Cadastro!D54)</f>
        <v/>
      </c>
      <c r="D31" s="27"/>
      <c r="E31" s="31"/>
      <c r="F31" s="27"/>
      <c r="G31" s="8"/>
      <c r="H31" s="27"/>
      <c r="I31" s="33"/>
      <c r="J31" s="35"/>
      <c r="K31" s="37">
        <v>30.0</v>
      </c>
      <c r="L31" s="39" t="str">
        <f t="shared" si="3"/>
        <v/>
      </c>
      <c r="M31" s="40" t="str">
        <f t="shared" si="4"/>
        <v/>
      </c>
      <c r="N31" s="40" t="str">
        <f t="shared" si="8"/>
        <v/>
      </c>
      <c r="O31" s="40" t="str">
        <f t="shared" si="9"/>
        <v/>
      </c>
      <c r="P31" s="40" t="str">
        <f t="shared" si="5"/>
        <v/>
      </c>
      <c r="Q31" s="40" t="str">
        <f t="shared" si="10"/>
        <v/>
      </c>
      <c r="R31" s="40" t="str">
        <f t="shared" si="11"/>
        <v/>
      </c>
      <c r="S31" s="40" t="str">
        <f t="shared" si="6"/>
        <v/>
      </c>
      <c r="T31" s="40" t="str">
        <f t="shared" si="12"/>
        <v/>
      </c>
      <c r="U31" s="40" t="str">
        <f t="shared" si="13"/>
        <v/>
      </c>
      <c r="V31" s="40" t="str">
        <f t="shared" si="14"/>
        <v/>
      </c>
      <c r="W31" s="53" t="str">
        <f t="shared" si="7"/>
        <v/>
      </c>
    </row>
    <row r="32" ht="15.75" customHeight="1">
      <c r="A32" s="54"/>
      <c r="B32" s="27">
        <v>31.0</v>
      </c>
      <c r="C32" s="27" t="str">
        <f>IF(Cadastro!D55="","",Cadastro!D55)</f>
        <v/>
      </c>
      <c r="D32" s="27"/>
      <c r="E32" s="31"/>
      <c r="F32" s="27"/>
      <c r="G32" s="8"/>
      <c r="H32" s="27"/>
      <c r="I32" s="33"/>
      <c r="J32" s="35"/>
      <c r="K32" s="37">
        <v>31.0</v>
      </c>
      <c r="L32" s="39" t="str">
        <f t="shared" si="3"/>
        <v/>
      </c>
      <c r="M32" s="40" t="str">
        <f t="shared" si="4"/>
        <v/>
      </c>
      <c r="N32" s="40" t="str">
        <f t="shared" si="8"/>
        <v/>
      </c>
      <c r="O32" s="40" t="str">
        <f t="shared" si="9"/>
        <v/>
      </c>
      <c r="P32" s="40" t="str">
        <f t="shared" si="5"/>
        <v/>
      </c>
      <c r="Q32" s="40" t="str">
        <f t="shared" si="10"/>
        <v/>
      </c>
      <c r="R32" s="40" t="str">
        <f t="shared" si="11"/>
        <v/>
      </c>
      <c r="S32" s="40" t="str">
        <f t="shared" si="6"/>
        <v/>
      </c>
      <c r="T32" s="40" t="str">
        <f t="shared" si="12"/>
        <v/>
      </c>
      <c r="U32" s="40" t="str">
        <f t="shared" si="13"/>
        <v/>
      </c>
      <c r="V32" s="40" t="str">
        <f t="shared" si="14"/>
        <v/>
      </c>
      <c r="W32" s="53" t="str">
        <f t="shared" si="7"/>
        <v/>
      </c>
    </row>
    <row r="33" ht="15.75" customHeight="1">
      <c r="A33" s="54"/>
      <c r="B33" s="27">
        <v>32.0</v>
      </c>
      <c r="C33" s="27" t="str">
        <f>IF(Cadastro!D56="","",Cadastro!D56)</f>
        <v/>
      </c>
      <c r="D33" s="27"/>
      <c r="E33" s="31"/>
      <c r="F33" s="27"/>
      <c r="G33" s="8"/>
      <c r="H33" s="27"/>
      <c r="I33" s="33"/>
      <c r="J33" s="35"/>
      <c r="K33" s="37">
        <v>32.0</v>
      </c>
      <c r="L33" s="39" t="str">
        <f t="shared" si="3"/>
        <v/>
      </c>
      <c r="M33" s="40" t="str">
        <f t="shared" si="4"/>
        <v/>
      </c>
      <c r="N33" s="40" t="str">
        <f t="shared" si="8"/>
        <v/>
      </c>
      <c r="O33" s="40" t="str">
        <f t="shared" si="9"/>
        <v/>
      </c>
      <c r="P33" s="40" t="str">
        <f t="shared" si="5"/>
        <v/>
      </c>
      <c r="Q33" s="40" t="str">
        <f t="shared" si="10"/>
        <v/>
      </c>
      <c r="R33" s="40" t="str">
        <f t="shared" si="11"/>
        <v/>
      </c>
      <c r="S33" s="40" t="str">
        <f t="shared" si="6"/>
        <v/>
      </c>
      <c r="T33" s="40" t="str">
        <f t="shared" si="12"/>
        <v/>
      </c>
      <c r="U33" s="40" t="str">
        <f t="shared" si="13"/>
        <v/>
      </c>
      <c r="V33" s="40" t="str">
        <f t="shared" si="14"/>
        <v/>
      </c>
      <c r="W33" s="53" t="str">
        <f t="shared" si="7"/>
        <v/>
      </c>
    </row>
    <row r="34" ht="15.75" customHeight="1">
      <c r="A34" s="54"/>
      <c r="B34" s="27">
        <v>33.0</v>
      </c>
      <c r="C34" s="27" t="str">
        <f>IF(Cadastro!D57="","",Cadastro!D57)</f>
        <v/>
      </c>
      <c r="D34" s="27"/>
      <c r="E34" s="31"/>
      <c r="F34" s="27"/>
      <c r="G34" s="8"/>
      <c r="H34" s="27"/>
      <c r="I34" s="33"/>
      <c r="J34" s="115"/>
      <c r="K34" s="37">
        <v>33.0</v>
      </c>
      <c r="L34" s="39" t="str">
        <f t="shared" si="3"/>
        <v/>
      </c>
      <c r="M34" s="40" t="str">
        <f t="shared" si="4"/>
        <v/>
      </c>
      <c r="N34" s="40" t="str">
        <f t="shared" si="8"/>
        <v/>
      </c>
      <c r="O34" s="40" t="str">
        <f t="shared" si="9"/>
        <v/>
      </c>
      <c r="P34" s="40" t="str">
        <f t="shared" si="5"/>
        <v/>
      </c>
      <c r="Q34" s="40" t="str">
        <f t="shared" si="10"/>
        <v/>
      </c>
      <c r="R34" s="40" t="str">
        <f t="shared" si="11"/>
        <v/>
      </c>
      <c r="S34" s="40" t="str">
        <f t="shared" si="6"/>
        <v/>
      </c>
      <c r="T34" s="40" t="str">
        <f t="shared" si="12"/>
        <v/>
      </c>
      <c r="U34" s="40" t="str">
        <f t="shared" si="13"/>
        <v/>
      </c>
      <c r="V34" s="40" t="str">
        <f t="shared" si="14"/>
        <v/>
      </c>
      <c r="W34" s="53" t="str">
        <f t="shared" si="7"/>
        <v/>
      </c>
    </row>
    <row r="35" ht="15.75" customHeight="1">
      <c r="A35" s="116"/>
      <c r="B35" s="116"/>
      <c r="C35" s="117"/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</row>
    <row r="36" ht="15.75" customHeight="1">
      <c r="A36" s="116"/>
      <c r="B36" s="116"/>
      <c r="C36" s="117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</row>
    <row r="37" ht="15.75" customHeight="1">
      <c r="A37" s="116"/>
      <c r="B37" s="116"/>
      <c r="C37" s="117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</row>
    <row r="38" ht="15.75" customHeight="1">
      <c r="A38" s="116"/>
      <c r="B38" s="116"/>
      <c r="C38" s="117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</row>
    <row r="39" ht="15.75" customHeight="1">
      <c r="A39" s="116"/>
      <c r="B39" s="116"/>
      <c r="C39" s="117"/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</row>
    <row r="40" ht="15.75" customHeight="1">
      <c r="A40" s="116"/>
      <c r="B40" s="116"/>
      <c r="C40" s="117"/>
      <c r="D40" s="116"/>
      <c r="E40" s="116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</row>
    <row r="41" ht="15.75" customHeight="1">
      <c r="A41" s="116"/>
      <c r="B41" s="116"/>
      <c r="C41" s="117"/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</row>
    <row r="42" ht="15.75" customHeight="1">
      <c r="A42" s="116"/>
      <c r="B42" s="116"/>
      <c r="C42" s="117"/>
      <c r="D42" s="116"/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</row>
    <row r="43" ht="15.75" customHeight="1">
      <c r="A43" s="116"/>
      <c r="B43" s="116"/>
      <c r="C43" s="117"/>
      <c r="D43" s="116"/>
      <c r="E43" s="116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</row>
    <row r="44" ht="15.75" customHeight="1">
      <c r="A44" s="116"/>
      <c r="B44" s="116"/>
      <c r="C44" s="117"/>
      <c r="D44" s="116"/>
      <c r="E44" s="116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</row>
    <row r="45" ht="15.75" customHeight="1">
      <c r="A45" s="116"/>
      <c r="B45" s="116"/>
      <c r="C45" s="117"/>
      <c r="D45" s="116"/>
      <c r="E45" s="116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</row>
    <row r="46" ht="15.75" customHeight="1">
      <c r="A46" s="116"/>
      <c r="B46" s="116"/>
      <c r="C46" s="117"/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</row>
    <row r="47" ht="15.75" customHeight="1">
      <c r="A47" s="116"/>
      <c r="B47" s="116"/>
      <c r="C47" s="117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</row>
    <row r="48" ht="15.75" customHeight="1">
      <c r="A48" s="116"/>
      <c r="B48" s="116"/>
      <c r="C48" s="117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</row>
    <row r="49" ht="15.75" customHeight="1">
      <c r="A49" s="116"/>
      <c r="B49" s="116"/>
      <c r="C49" s="117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</row>
    <row r="50" ht="15.75" customHeight="1">
      <c r="A50" s="116"/>
      <c r="B50" s="116"/>
      <c r="C50" s="117"/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</row>
    <row r="51" ht="15.75" customHeight="1">
      <c r="A51" s="116"/>
      <c r="B51" s="116"/>
      <c r="C51" s="117"/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</row>
    <row r="52" ht="15.75" customHeight="1">
      <c r="A52" s="116"/>
      <c r="B52" s="116"/>
      <c r="C52" s="117"/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</row>
    <row r="53" ht="15.75" customHeight="1">
      <c r="A53" s="116"/>
      <c r="B53" s="116"/>
      <c r="C53" s="117"/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</row>
    <row r="54" ht="15.75" customHeight="1">
      <c r="A54" s="116"/>
      <c r="B54" s="116"/>
      <c r="C54" s="117"/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</row>
    <row r="55" ht="15.75" customHeight="1">
      <c r="A55" s="116"/>
      <c r="B55" s="116"/>
      <c r="C55" s="117"/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</row>
    <row r="56" ht="15.75" customHeight="1">
      <c r="A56" s="116"/>
      <c r="B56" s="116"/>
      <c r="C56" s="117"/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</row>
    <row r="57" ht="15.75" customHeight="1">
      <c r="A57" s="116"/>
      <c r="B57" s="116"/>
      <c r="C57" s="117"/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</row>
    <row r="58" ht="15.75" customHeight="1">
      <c r="A58" s="116"/>
      <c r="B58" s="116"/>
      <c r="C58" s="117"/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</row>
    <row r="59" ht="15.75" customHeight="1">
      <c r="A59" s="116"/>
      <c r="B59" s="116"/>
      <c r="C59" s="117"/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</row>
    <row r="60" ht="15.75" customHeight="1">
      <c r="A60" s="116"/>
      <c r="B60" s="116"/>
      <c r="C60" s="117"/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</row>
    <row r="61" ht="15.75" customHeight="1">
      <c r="A61" s="116"/>
      <c r="B61" s="116"/>
      <c r="C61" s="117"/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</row>
    <row r="62" ht="15.75" customHeight="1">
      <c r="A62" s="116"/>
      <c r="B62" s="116"/>
      <c r="C62" s="117"/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</row>
    <row r="63" ht="15.75" customHeight="1">
      <c r="A63" s="116"/>
      <c r="B63" s="116"/>
      <c r="C63" s="117"/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</row>
    <row r="64" ht="15.75" customHeight="1">
      <c r="A64" s="116"/>
      <c r="B64" s="116"/>
      <c r="C64" s="117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</row>
    <row r="65" ht="15.75" customHeight="1">
      <c r="A65" s="116"/>
      <c r="B65" s="116"/>
      <c r="C65" s="117"/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</row>
    <row r="66" ht="15.75" customHeight="1">
      <c r="A66" s="116"/>
      <c r="B66" s="116"/>
      <c r="C66" s="117"/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</row>
    <row r="67" ht="15.75" customHeight="1">
      <c r="A67" s="116"/>
      <c r="B67" s="116"/>
      <c r="C67" s="117"/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</row>
    <row r="68" ht="15.75" customHeight="1">
      <c r="A68" s="116"/>
      <c r="B68" s="116"/>
      <c r="C68" s="117"/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</row>
    <row r="69" ht="15.75" customHeight="1">
      <c r="A69" s="116"/>
      <c r="B69" s="116"/>
      <c r="C69" s="117"/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</row>
    <row r="70" ht="15.75" customHeight="1">
      <c r="A70" s="116"/>
      <c r="B70" s="116"/>
      <c r="C70" s="117"/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</row>
    <row r="71" ht="15.75" customHeight="1">
      <c r="A71" s="116"/>
      <c r="B71" s="116"/>
      <c r="C71" s="117"/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</row>
    <row r="72" ht="15.75" customHeight="1">
      <c r="A72" s="116"/>
      <c r="B72" s="116"/>
      <c r="C72" s="117"/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</row>
    <row r="73" ht="15.75" customHeight="1">
      <c r="A73" s="116"/>
      <c r="B73" s="116"/>
      <c r="C73" s="117"/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</row>
    <row r="74" ht="15.75" customHeight="1">
      <c r="A74" s="116"/>
      <c r="B74" s="116"/>
      <c r="C74" s="117"/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</row>
    <row r="75" ht="15.75" customHeight="1">
      <c r="A75" s="116"/>
      <c r="B75" s="116"/>
      <c r="C75" s="117"/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</row>
    <row r="76" ht="15.75" customHeight="1">
      <c r="A76" s="116"/>
      <c r="B76" s="116"/>
      <c r="C76" s="117"/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</row>
    <row r="77" ht="15.75" customHeight="1">
      <c r="A77" s="116"/>
      <c r="B77" s="116"/>
      <c r="C77" s="117"/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</row>
    <row r="78" ht="15.75" customHeight="1">
      <c r="A78" s="116"/>
      <c r="B78" s="116"/>
      <c r="C78" s="117"/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</row>
    <row r="79" ht="15.75" customHeight="1">
      <c r="A79" s="116"/>
      <c r="B79" s="116"/>
      <c r="C79" s="117"/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</row>
    <row r="80" ht="15.75" customHeight="1">
      <c r="A80" s="116"/>
      <c r="B80" s="116"/>
      <c r="C80" s="117"/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</row>
    <row r="81" ht="15.75" customHeight="1">
      <c r="A81" s="116"/>
      <c r="B81" s="116"/>
      <c r="C81" s="117"/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</row>
    <row r="82" ht="15.75" customHeight="1">
      <c r="A82" s="116"/>
      <c r="B82" s="116"/>
      <c r="C82" s="117"/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</row>
    <row r="83" ht="15.75" customHeight="1">
      <c r="A83" s="116"/>
      <c r="B83" s="116"/>
      <c r="C83" s="117"/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</row>
    <row r="84" ht="15.75" customHeight="1">
      <c r="A84" s="116"/>
      <c r="B84" s="116"/>
      <c r="C84" s="117"/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</row>
    <row r="85" ht="15.75" customHeight="1">
      <c r="A85" s="116"/>
      <c r="B85" s="116"/>
      <c r="C85" s="117"/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</row>
    <row r="86" ht="15.75" customHeight="1">
      <c r="A86" s="116"/>
      <c r="B86" s="116"/>
      <c r="C86" s="117"/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</row>
    <row r="87" ht="15.75" customHeight="1">
      <c r="A87" s="116"/>
      <c r="B87" s="116"/>
      <c r="C87" s="117"/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</row>
    <row r="88" ht="15.75" customHeight="1">
      <c r="A88" s="116"/>
      <c r="B88" s="116"/>
      <c r="C88" s="117"/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</row>
    <row r="89" ht="15.75" customHeight="1">
      <c r="A89" s="116"/>
      <c r="B89" s="116"/>
      <c r="C89" s="117"/>
      <c r="D89" s="116"/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</row>
    <row r="90" ht="15.75" customHeight="1">
      <c r="A90" s="116"/>
      <c r="B90" s="116"/>
      <c r="C90" s="117"/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</row>
    <row r="91" ht="15.75" customHeight="1">
      <c r="A91" s="116"/>
      <c r="B91" s="116"/>
      <c r="C91" s="117"/>
      <c r="D91" s="116"/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</row>
    <row r="92" ht="15.75" customHeight="1">
      <c r="A92" s="116"/>
      <c r="B92" s="116"/>
      <c r="C92" s="117"/>
      <c r="D92" s="116"/>
      <c r="E92" s="116"/>
      <c r="F92" s="116"/>
      <c r="G92" s="116"/>
      <c r="H92" s="116"/>
      <c r="I92" s="116"/>
      <c r="J92" s="116"/>
      <c r="K92" s="116"/>
      <c r="L92" s="116"/>
      <c r="M92" s="116"/>
      <c r="N92" s="116"/>
      <c r="O92" s="116"/>
      <c r="P92" s="116"/>
      <c r="Q92" s="116"/>
      <c r="R92" s="116"/>
      <c r="S92" s="116"/>
      <c r="T92" s="116"/>
      <c r="U92" s="116"/>
      <c r="V92" s="116"/>
      <c r="W92" s="116"/>
    </row>
    <row r="93" ht="15.75" customHeight="1">
      <c r="A93" s="116"/>
      <c r="B93" s="116"/>
      <c r="C93" s="117"/>
      <c r="D93" s="116"/>
      <c r="E93" s="116"/>
      <c r="F93" s="116"/>
      <c r="G93" s="116"/>
      <c r="H93" s="116"/>
      <c r="I93" s="116"/>
      <c r="J93" s="116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/>
      <c r="V93" s="116"/>
      <c r="W93" s="116"/>
    </row>
    <row r="94" ht="15.75" customHeight="1">
      <c r="A94" s="116"/>
      <c r="B94" s="116"/>
      <c r="C94" s="117"/>
      <c r="D94" s="116"/>
      <c r="E94" s="116"/>
      <c r="F94" s="116"/>
      <c r="G94" s="116"/>
      <c r="H94" s="116"/>
      <c r="I94" s="116"/>
      <c r="J94" s="116"/>
      <c r="K94" s="116"/>
      <c r="L94" s="116"/>
      <c r="M94" s="116"/>
      <c r="N94" s="116"/>
      <c r="O94" s="116"/>
      <c r="P94" s="116"/>
      <c r="Q94" s="116"/>
      <c r="R94" s="116"/>
      <c r="S94" s="116"/>
      <c r="T94" s="116"/>
      <c r="U94" s="116"/>
      <c r="V94" s="116"/>
      <c r="W94" s="116"/>
    </row>
    <row r="95" ht="15.75" customHeight="1">
      <c r="A95" s="116"/>
      <c r="B95" s="116"/>
      <c r="C95" s="117"/>
      <c r="D95" s="116"/>
      <c r="E95" s="116"/>
      <c r="F95" s="116"/>
      <c r="G95" s="116"/>
      <c r="H95" s="116"/>
      <c r="I95" s="116"/>
      <c r="J95" s="116"/>
      <c r="K95" s="116"/>
      <c r="L95" s="116"/>
      <c r="M95" s="116"/>
      <c r="N95" s="116"/>
      <c r="O95" s="116"/>
      <c r="P95" s="116"/>
      <c r="Q95" s="116"/>
      <c r="R95" s="116"/>
      <c r="S95" s="116"/>
      <c r="T95" s="116"/>
      <c r="U95" s="116"/>
      <c r="V95" s="116"/>
      <c r="W95" s="116"/>
    </row>
    <row r="96" ht="15.75" customHeight="1">
      <c r="A96" s="116"/>
      <c r="B96" s="116"/>
      <c r="C96" s="117"/>
      <c r="D96" s="116"/>
      <c r="E96" s="116"/>
      <c r="F96" s="116"/>
      <c r="G96" s="116"/>
      <c r="H96" s="116"/>
      <c r="I96" s="116"/>
      <c r="J96" s="116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6"/>
    </row>
    <row r="97" ht="15.75" customHeight="1">
      <c r="A97" s="116"/>
      <c r="B97" s="116"/>
      <c r="C97" s="117"/>
      <c r="D97" s="116"/>
      <c r="E97" s="116"/>
      <c r="F97" s="116"/>
      <c r="G97" s="116"/>
      <c r="H97" s="116"/>
      <c r="I97" s="116"/>
      <c r="J97" s="116"/>
      <c r="K97" s="116"/>
      <c r="L97" s="116"/>
      <c r="M97" s="116"/>
      <c r="N97" s="116"/>
      <c r="O97" s="116"/>
      <c r="P97" s="116"/>
      <c r="Q97" s="116"/>
      <c r="R97" s="116"/>
      <c r="S97" s="116"/>
      <c r="T97" s="116"/>
      <c r="U97" s="116"/>
      <c r="V97" s="116"/>
      <c r="W97" s="116"/>
    </row>
    <row r="98" ht="15.75" customHeight="1">
      <c r="A98" s="116"/>
      <c r="B98" s="116"/>
      <c r="C98" s="117"/>
      <c r="D98" s="116"/>
      <c r="E98" s="116"/>
      <c r="F98" s="116"/>
      <c r="G98" s="116"/>
      <c r="H98" s="116"/>
      <c r="I98" s="116"/>
      <c r="J98" s="116"/>
      <c r="K98" s="116"/>
      <c r="L98" s="116"/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6"/>
    </row>
    <row r="99" ht="15.75" customHeight="1">
      <c r="A99" s="116"/>
      <c r="B99" s="116"/>
      <c r="C99" s="117"/>
      <c r="D99" s="116"/>
      <c r="E99" s="116"/>
      <c r="F99" s="116"/>
      <c r="G99" s="116"/>
      <c r="H99" s="116"/>
      <c r="I99" s="116"/>
      <c r="J99" s="116"/>
      <c r="K99" s="116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6"/>
    </row>
    <row r="100" ht="15.75" customHeight="1">
      <c r="A100" s="116"/>
      <c r="B100" s="116"/>
      <c r="C100" s="117"/>
      <c r="D100" s="116"/>
      <c r="E100" s="116"/>
      <c r="F100" s="116"/>
      <c r="G100" s="116"/>
      <c r="H100" s="116"/>
      <c r="I100" s="116"/>
      <c r="J100" s="116"/>
      <c r="K100" s="116"/>
      <c r="L100" s="116"/>
      <c r="M100" s="116"/>
      <c r="N100" s="116"/>
      <c r="O100" s="116"/>
      <c r="P100" s="116"/>
      <c r="Q100" s="116"/>
      <c r="R100" s="116"/>
      <c r="S100" s="116"/>
      <c r="T100" s="116"/>
      <c r="U100" s="116"/>
      <c r="V100" s="116"/>
      <c r="W100" s="116"/>
    </row>
    <row r="101" ht="15.75" customHeight="1">
      <c r="A101" s="116"/>
      <c r="B101" s="116"/>
      <c r="C101" s="117"/>
      <c r="D101" s="116"/>
      <c r="E101" s="116"/>
      <c r="F101" s="116"/>
      <c r="G101" s="116"/>
      <c r="H101" s="116"/>
      <c r="I101" s="116"/>
      <c r="J101" s="116"/>
      <c r="K101" s="116"/>
      <c r="L101" s="116"/>
      <c r="M101" s="116"/>
      <c r="N101" s="116"/>
      <c r="O101" s="116"/>
      <c r="P101" s="116"/>
      <c r="Q101" s="116"/>
      <c r="R101" s="116"/>
      <c r="S101" s="116"/>
      <c r="T101" s="116"/>
      <c r="U101" s="116"/>
      <c r="V101" s="116"/>
      <c r="W101" s="116"/>
    </row>
    <row r="102" ht="15.75" customHeight="1">
      <c r="A102" s="116"/>
      <c r="B102" s="116"/>
      <c r="C102" s="117"/>
      <c r="D102" s="116"/>
      <c r="E102" s="116"/>
      <c r="F102" s="116"/>
      <c r="G102" s="116"/>
      <c r="H102" s="116"/>
      <c r="I102" s="116"/>
      <c r="J102" s="116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6"/>
      <c r="V102" s="116"/>
      <c r="W102" s="116"/>
    </row>
    <row r="103" ht="15.75" customHeight="1">
      <c r="A103" s="116"/>
      <c r="B103" s="116"/>
      <c r="C103" s="117"/>
      <c r="D103" s="116"/>
      <c r="E103" s="116"/>
      <c r="F103" s="116"/>
      <c r="G103" s="116"/>
      <c r="H103" s="116"/>
      <c r="I103" s="116"/>
      <c r="J103" s="116"/>
      <c r="K103" s="116"/>
      <c r="L103" s="116"/>
      <c r="M103" s="116"/>
      <c r="N103" s="116"/>
      <c r="O103" s="116"/>
      <c r="P103" s="116"/>
      <c r="Q103" s="116"/>
      <c r="R103" s="116"/>
      <c r="S103" s="116"/>
      <c r="T103" s="116"/>
      <c r="U103" s="116"/>
      <c r="V103" s="116"/>
      <c r="W103" s="116"/>
    </row>
    <row r="104" ht="15.75" customHeight="1">
      <c r="A104" s="116"/>
      <c r="B104" s="116"/>
      <c r="C104" s="117"/>
      <c r="D104" s="116"/>
      <c r="E104" s="116"/>
      <c r="F104" s="116"/>
      <c r="G104" s="116"/>
      <c r="H104" s="116"/>
      <c r="I104" s="116"/>
      <c r="J104" s="116"/>
      <c r="K104" s="116"/>
      <c r="L104" s="116"/>
      <c r="M104" s="116"/>
      <c r="N104" s="116"/>
      <c r="O104" s="116"/>
      <c r="P104" s="116"/>
      <c r="Q104" s="116"/>
      <c r="R104" s="116"/>
      <c r="S104" s="116"/>
      <c r="T104" s="116"/>
      <c r="U104" s="116"/>
      <c r="V104" s="116"/>
      <c r="W104" s="116"/>
    </row>
    <row r="105" ht="15.75" customHeight="1">
      <c r="A105" s="116"/>
      <c r="B105" s="116"/>
      <c r="C105" s="117"/>
      <c r="D105" s="116"/>
      <c r="E105" s="116"/>
      <c r="F105" s="116"/>
      <c r="G105" s="116"/>
      <c r="H105" s="116"/>
      <c r="I105" s="116"/>
      <c r="J105" s="116"/>
      <c r="K105" s="116"/>
      <c r="L105" s="116"/>
      <c r="M105" s="116"/>
      <c r="N105" s="116"/>
      <c r="O105" s="116"/>
      <c r="P105" s="116"/>
      <c r="Q105" s="116"/>
      <c r="R105" s="116"/>
      <c r="S105" s="116"/>
      <c r="T105" s="116"/>
      <c r="U105" s="116"/>
      <c r="V105" s="116"/>
      <c r="W105" s="116"/>
    </row>
    <row r="106" ht="15.75" customHeight="1">
      <c r="A106" s="116"/>
      <c r="B106" s="116"/>
      <c r="C106" s="117"/>
      <c r="D106" s="116"/>
      <c r="E106" s="116"/>
      <c r="F106" s="116"/>
      <c r="G106" s="116"/>
      <c r="H106" s="116"/>
      <c r="I106" s="116"/>
      <c r="J106" s="116"/>
      <c r="K106" s="116"/>
      <c r="L106" s="116"/>
      <c r="M106" s="116"/>
      <c r="N106" s="116"/>
      <c r="O106" s="116"/>
      <c r="P106" s="116"/>
      <c r="Q106" s="116"/>
      <c r="R106" s="116"/>
      <c r="S106" s="116"/>
      <c r="T106" s="116"/>
      <c r="U106" s="116"/>
      <c r="V106" s="116"/>
      <c r="W106" s="116"/>
    </row>
    <row r="107" ht="15.75" customHeight="1">
      <c r="A107" s="116"/>
      <c r="B107" s="116"/>
      <c r="C107" s="117"/>
      <c r="D107" s="116"/>
      <c r="E107" s="116"/>
      <c r="F107" s="116"/>
      <c r="G107" s="116"/>
      <c r="H107" s="116"/>
      <c r="I107" s="116"/>
      <c r="J107" s="116"/>
      <c r="K107" s="116"/>
      <c r="L107" s="116"/>
      <c r="M107" s="116"/>
      <c r="N107" s="116"/>
      <c r="O107" s="116"/>
      <c r="P107" s="116"/>
      <c r="Q107" s="116"/>
      <c r="R107" s="116"/>
      <c r="S107" s="116"/>
      <c r="T107" s="116"/>
      <c r="U107" s="116"/>
      <c r="V107" s="116"/>
      <c r="W107" s="116"/>
    </row>
    <row r="108" ht="15.75" customHeight="1">
      <c r="A108" s="116"/>
      <c r="B108" s="116"/>
      <c r="C108" s="117"/>
      <c r="D108" s="116"/>
      <c r="E108" s="116"/>
      <c r="F108" s="116"/>
      <c r="G108" s="116"/>
      <c r="H108" s="116"/>
      <c r="I108" s="116"/>
      <c r="J108" s="116"/>
      <c r="K108" s="116"/>
      <c r="L108" s="116"/>
      <c r="M108" s="116"/>
      <c r="N108" s="116"/>
      <c r="O108" s="116"/>
      <c r="P108" s="116"/>
      <c r="Q108" s="116"/>
      <c r="R108" s="116"/>
      <c r="S108" s="116"/>
      <c r="T108" s="116"/>
      <c r="U108" s="116"/>
      <c r="V108" s="116"/>
      <c r="W108" s="116"/>
    </row>
    <row r="109" ht="15.75" customHeight="1">
      <c r="A109" s="116"/>
      <c r="B109" s="116"/>
      <c r="C109" s="117"/>
      <c r="D109" s="116"/>
      <c r="E109" s="116"/>
      <c r="F109" s="116"/>
      <c r="G109" s="116"/>
      <c r="H109" s="116"/>
      <c r="I109" s="116"/>
      <c r="J109" s="116"/>
      <c r="K109" s="116"/>
      <c r="L109" s="116"/>
      <c r="M109" s="116"/>
      <c r="N109" s="116"/>
      <c r="O109" s="116"/>
      <c r="P109" s="116"/>
      <c r="Q109" s="116"/>
      <c r="R109" s="116"/>
      <c r="S109" s="116"/>
      <c r="T109" s="116"/>
      <c r="U109" s="116"/>
      <c r="V109" s="116"/>
      <c r="W109" s="116"/>
    </row>
    <row r="110" ht="15.75" customHeight="1">
      <c r="A110" s="116"/>
      <c r="B110" s="116"/>
      <c r="C110" s="117"/>
      <c r="D110" s="116"/>
      <c r="E110" s="116"/>
      <c r="F110" s="116"/>
      <c r="G110" s="116"/>
      <c r="H110" s="116"/>
      <c r="I110" s="116"/>
      <c r="J110" s="116"/>
      <c r="K110" s="116"/>
      <c r="L110" s="116"/>
      <c r="M110" s="116"/>
      <c r="N110" s="116"/>
      <c r="O110" s="116"/>
      <c r="P110" s="116"/>
      <c r="Q110" s="116"/>
      <c r="R110" s="116"/>
      <c r="S110" s="116"/>
      <c r="T110" s="116"/>
      <c r="U110" s="116"/>
      <c r="V110" s="116"/>
      <c r="W110" s="116"/>
    </row>
    <row r="111" ht="15.75" customHeight="1">
      <c r="A111" s="116"/>
      <c r="B111" s="116"/>
      <c r="C111" s="117"/>
      <c r="D111" s="116"/>
      <c r="E111" s="116"/>
      <c r="F111" s="116"/>
      <c r="G111" s="116"/>
      <c r="H111" s="116"/>
      <c r="I111" s="116"/>
      <c r="J111" s="116"/>
      <c r="K111" s="116"/>
      <c r="L111" s="116"/>
      <c r="M111" s="116"/>
      <c r="N111" s="116"/>
      <c r="O111" s="116"/>
      <c r="P111" s="116"/>
      <c r="Q111" s="116"/>
      <c r="R111" s="116"/>
      <c r="S111" s="116"/>
      <c r="T111" s="116"/>
      <c r="U111" s="116"/>
      <c r="V111" s="116"/>
      <c r="W111" s="116"/>
    </row>
    <row r="112" ht="15.75" customHeight="1">
      <c r="A112" s="116"/>
      <c r="B112" s="116"/>
      <c r="C112" s="117"/>
      <c r="D112" s="116"/>
      <c r="E112" s="116"/>
      <c r="F112" s="116"/>
      <c r="G112" s="116"/>
      <c r="H112" s="116"/>
      <c r="I112" s="116"/>
      <c r="J112" s="116"/>
      <c r="K112" s="116"/>
      <c r="L112" s="116"/>
      <c r="M112" s="116"/>
      <c r="N112" s="116"/>
      <c r="O112" s="116"/>
      <c r="P112" s="116"/>
      <c r="Q112" s="116"/>
      <c r="R112" s="116"/>
      <c r="S112" s="116"/>
      <c r="T112" s="116"/>
      <c r="U112" s="116"/>
      <c r="V112" s="116"/>
      <c r="W112" s="116"/>
    </row>
    <row r="113" ht="15.75" customHeight="1">
      <c r="A113" s="116"/>
      <c r="B113" s="116"/>
      <c r="C113" s="117"/>
      <c r="D113" s="116"/>
      <c r="E113" s="116"/>
      <c r="F113" s="116"/>
      <c r="G113" s="116"/>
      <c r="H113" s="116"/>
      <c r="I113" s="116"/>
      <c r="J113" s="116"/>
      <c r="K113" s="116"/>
      <c r="L113" s="116"/>
      <c r="M113" s="116"/>
      <c r="N113" s="116"/>
      <c r="O113" s="116"/>
      <c r="P113" s="116"/>
      <c r="Q113" s="116"/>
      <c r="R113" s="116"/>
      <c r="S113" s="116"/>
      <c r="T113" s="116"/>
      <c r="U113" s="116"/>
      <c r="V113" s="116"/>
      <c r="W113" s="116"/>
    </row>
    <row r="114" ht="15.75" customHeight="1">
      <c r="A114" s="116"/>
      <c r="B114" s="116"/>
      <c r="C114" s="117"/>
      <c r="D114" s="116"/>
      <c r="E114" s="116"/>
      <c r="F114" s="116"/>
      <c r="G114" s="116"/>
      <c r="H114" s="116"/>
      <c r="I114" s="116"/>
      <c r="J114" s="116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6"/>
    </row>
    <row r="115" ht="15.75" customHeight="1">
      <c r="A115" s="116"/>
      <c r="B115" s="116"/>
      <c r="C115" s="117"/>
      <c r="D115" s="116"/>
      <c r="E115" s="116"/>
      <c r="F115" s="116"/>
      <c r="G115" s="116"/>
      <c r="H115" s="116"/>
      <c r="I115" s="116"/>
      <c r="J115" s="116"/>
      <c r="K115" s="116"/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6"/>
    </row>
    <row r="116" ht="15.75" customHeight="1">
      <c r="A116" s="116"/>
      <c r="B116" s="116"/>
      <c r="C116" s="117"/>
      <c r="D116" s="116"/>
      <c r="E116" s="116"/>
      <c r="F116" s="116"/>
      <c r="G116" s="116"/>
      <c r="H116" s="116"/>
      <c r="I116" s="116"/>
      <c r="J116" s="116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  <c r="U116" s="116"/>
      <c r="V116" s="116"/>
      <c r="W116" s="116"/>
    </row>
    <row r="117" ht="15.75" customHeight="1">
      <c r="A117" s="116"/>
      <c r="B117" s="116"/>
      <c r="C117" s="117"/>
      <c r="D117" s="116"/>
      <c r="E117" s="116"/>
      <c r="F117" s="116"/>
      <c r="G117" s="116"/>
      <c r="H117" s="116"/>
      <c r="I117" s="116"/>
      <c r="J117" s="116"/>
      <c r="K117" s="116"/>
      <c r="L117" s="116"/>
      <c r="M117" s="116"/>
      <c r="N117" s="116"/>
      <c r="O117" s="116"/>
      <c r="P117" s="116"/>
      <c r="Q117" s="116"/>
      <c r="R117" s="116"/>
      <c r="S117" s="116"/>
      <c r="T117" s="116"/>
      <c r="U117" s="116"/>
      <c r="V117" s="116"/>
      <c r="W117" s="116"/>
    </row>
    <row r="118" ht="15.75" customHeight="1">
      <c r="A118" s="116"/>
      <c r="B118" s="116"/>
      <c r="C118" s="117"/>
      <c r="D118" s="116"/>
      <c r="E118" s="116"/>
      <c r="F118" s="116"/>
      <c r="G118" s="116"/>
      <c r="H118" s="116"/>
      <c r="I118" s="116"/>
      <c r="J118" s="116"/>
      <c r="K118" s="116"/>
      <c r="L118" s="116"/>
      <c r="M118" s="116"/>
      <c r="N118" s="116"/>
      <c r="O118" s="116"/>
      <c r="P118" s="116"/>
      <c r="Q118" s="116"/>
      <c r="R118" s="116"/>
      <c r="S118" s="116"/>
      <c r="T118" s="116"/>
      <c r="U118" s="116"/>
      <c r="V118" s="116"/>
      <c r="W118" s="116"/>
    </row>
    <row r="119" ht="15.75" customHeight="1">
      <c r="A119" s="116"/>
      <c r="B119" s="116"/>
      <c r="C119" s="117"/>
      <c r="D119" s="116"/>
      <c r="E119" s="116"/>
      <c r="F119" s="116"/>
      <c r="G119" s="116"/>
      <c r="H119" s="116"/>
      <c r="I119" s="116"/>
      <c r="J119" s="116"/>
      <c r="K119" s="116"/>
      <c r="L119" s="116"/>
      <c r="M119" s="116"/>
      <c r="N119" s="116"/>
      <c r="O119" s="116"/>
      <c r="P119" s="116"/>
      <c r="Q119" s="116"/>
      <c r="R119" s="116"/>
      <c r="S119" s="116"/>
      <c r="T119" s="116"/>
      <c r="U119" s="116"/>
      <c r="V119" s="116"/>
      <c r="W119" s="116"/>
    </row>
    <row r="120" ht="15.75" customHeight="1">
      <c r="A120" s="116"/>
      <c r="B120" s="116"/>
      <c r="C120" s="117"/>
      <c r="D120" s="116"/>
      <c r="E120" s="116"/>
      <c r="F120" s="116"/>
      <c r="G120" s="116"/>
      <c r="H120" s="116"/>
      <c r="I120" s="116"/>
      <c r="J120" s="116"/>
      <c r="K120" s="116"/>
      <c r="L120" s="116"/>
      <c r="M120" s="116"/>
      <c r="N120" s="116"/>
      <c r="O120" s="116"/>
      <c r="P120" s="116"/>
      <c r="Q120" s="116"/>
      <c r="R120" s="116"/>
      <c r="S120" s="116"/>
      <c r="T120" s="116"/>
      <c r="U120" s="116"/>
      <c r="V120" s="116"/>
      <c r="W120" s="116"/>
    </row>
    <row r="121" ht="15.75" customHeight="1">
      <c r="A121" s="116"/>
      <c r="B121" s="116"/>
      <c r="C121" s="117"/>
      <c r="D121" s="116"/>
      <c r="E121" s="116"/>
      <c r="F121" s="116"/>
      <c r="G121" s="116"/>
      <c r="H121" s="116"/>
      <c r="I121" s="116"/>
      <c r="J121" s="116"/>
      <c r="K121" s="116"/>
      <c r="L121" s="116"/>
      <c r="M121" s="116"/>
      <c r="N121" s="116"/>
      <c r="O121" s="116"/>
      <c r="P121" s="116"/>
      <c r="Q121" s="116"/>
      <c r="R121" s="116"/>
      <c r="S121" s="116"/>
      <c r="T121" s="116"/>
      <c r="U121" s="116"/>
      <c r="V121" s="116"/>
      <c r="W121" s="116"/>
    </row>
    <row r="122" ht="15.75" customHeight="1">
      <c r="A122" s="116"/>
      <c r="B122" s="116"/>
      <c r="C122" s="117"/>
      <c r="D122" s="116"/>
      <c r="E122" s="116"/>
      <c r="F122" s="116"/>
      <c r="G122" s="116"/>
      <c r="H122" s="116"/>
      <c r="I122" s="116"/>
      <c r="J122" s="116"/>
      <c r="K122" s="116"/>
      <c r="L122" s="116"/>
      <c r="M122" s="116"/>
      <c r="N122" s="116"/>
      <c r="O122" s="116"/>
      <c r="P122" s="116"/>
      <c r="Q122" s="116"/>
      <c r="R122" s="116"/>
      <c r="S122" s="116"/>
      <c r="T122" s="116"/>
      <c r="U122" s="116"/>
      <c r="V122" s="116"/>
      <c r="W122" s="116"/>
    </row>
    <row r="123" ht="15.75" customHeight="1">
      <c r="A123" s="116"/>
      <c r="B123" s="116"/>
      <c r="C123" s="117"/>
      <c r="D123" s="116"/>
      <c r="E123" s="116"/>
      <c r="F123" s="116"/>
      <c r="G123" s="116"/>
      <c r="H123" s="116"/>
      <c r="I123" s="116"/>
      <c r="J123" s="116"/>
      <c r="K123" s="116"/>
      <c r="L123" s="116"/>
      <c r="M123" s="116"/>
      <c r="N123" s="116"/>
      <c r="O123" s="116"/>
      <c r="P123" s="116"/>
      <c r="Q123" s="116"/>
      <c r="R123" s="116"/>
      <c r="S123" s="116"/>
      <c r="T123" s="116"/>
      <c r="U123" s="116"/>
      <c r="V123" s="116"/>
      <c r="W123" s="116"/>
    </row>
    <row r="124" ht="15.75" customHeight="1">
      <c r="A124" s="116"/>
      <c r="B124" s="116"/>
      <c r="C124" s="117"/>
      <c r="D124" s="116"/>
      <c r="E124" s="116"/>
      <c r="F124" s="116"/>
      <c r="G124" s="116"/>
      <c r="H124" s="116"/>
      <c r="I124" s="116"/>
      <c r="J124" s="116"/>
      <c r="K124" s="116"/>
      <c r="L124" s="116"/>
      <c r="M124" s="116"/>
      <c r="N124" s="116"/>
      <c r="O124" s="116"/>
      <c r="P124" s="116"/>
      <c r="Q124" s="116"/>
      <c r="R124" s="116"/>
      <c r="S124" s="116"/>
      <c r="T124" s="116"/>
      <c r="U124" s="116"/>
      <c r="V124" s="116"/>
      <c r="W124" s="116"/>
    </row>
    <row r="125" ht="15.75" customHeight="1">
      <c r="A125" s="116"/>
      <c r="B125" s="116"/>
      <c r="C125" s="117"/>
      <c r="D125" s="116"/>
      <c r="E125" s="116"/>
      <c r="F125" s="116"/>
      <c r="G125" s="116"/>
      <c r="H125" s="116"/>
      <c r="I125" s="116"/>
      <c r="J125" s="116"/>
      <c r="K125" s="116"/>
      <c r="L125" s="116"/>
      <c r="M125" s="116"/>
      <c r="N125" s="116"/>
      <c r="O125" s="116"/>
      <c r="P125" s="116"/>
      <c r="Q125" s="116"/>
      <c r="R125" s="116"/>
      <c r="S125" s="116"/>
      <c r="T125" s="116"/>
      <c r="U125" s="116"/>
      <c r="V125" s="116"/>
      <c r="W125" s="116"/>
    </row>
    <row r="126" ht="15.75" customHeight="1">
      <c r="A126" s="116"/>
      <c r="B126" s="116"/>
      <c r="C126" s="117"/>
      <c r="D126" s="116"/>
      <c r="E126" s="116"/>
      <c r="F126" s="116"/>
      <c r="G126" s="116"/>
      <c r="H126" s="116"/>
      <c r="I126" s="116"/>
      <c r="J126" s="116"/>
      <c r="K126" s="116"/>
      <c r="L126" s="116"/>
      <c r="M126" s="116"/>
      <c r="N126" s="116"/>
      <c r="O126" s="116"/>
      <c r="P126" s="116"/>
      <c r="Q126" s="116"/>
      <c r="R126" s="116"/>
      <c r="S126" s="116"/>
      <c r="T126" s="116"/>
      <c r="U126" s="116"/>
      <c r="V126" s="116"/>
      <c r="W126" s="116"/>
    </row>
    <row r="127" ht="15.75" customHeight="1">
      <c r="A127" s="116"/>
      <c r="B127" s="116"/>
      <c r="C127" s="117"/>
      <c r="D127" s="116"/>
      <c r="E127" s="116"/>
      <c r="F127" s="116"/>
      <c r="G127" s="116"/>
      <c r="H127" s="116"/>
      <c r="I127" s="116"/>
      <c r="J127" s="116"/>
      <c r="K127" s="116"/>
      <c r="L127" s="116"/>
      <c r="M127" s="116"/>
      <c r="N127" s="116"/>
      <c r="O127" s="116"/>
      <c r="P127" s="116"/>
      <c r="Q127" s="116"/>
      <c r="R127" s="116"/>
      <c r="S127" s="116"/>
      <c r="T127" s="116"/>
      <c r="U127" s="116"/>
      <c r="V127" s="116"/>
      <c r="W127" s="116"/>
    </row>
    <row r="128" ht="15.75" customHeight="1">
      <c r="A128" s="116"/>
      <c r="B128" s="116"/>
      <c r="C128" s="117"/>
      <c r="D128" s="116"/>
      <c r="E128" s="116"/>
      <c r="F128" s="116"/>
      <c r="G128" s="116"/>
      <c r="H128" s="116"/>
      <c r="I128" s="116"/>
      <c r="J128" s="116"/>
      <c r="K128" s="116"/>
      <c r="L128" s="116"/>
      <c r="M128" s="116"/>
      <c r="N128" s="116"/>
      <c r="O128" s="116"/>
      <c r="P128" s="116"/>
      <c r="Q128" s="116"/>
      <c r="R128" s="116"/>
      <c r="S128" s="116"/>
      <c r="T128" s="116"/>
      <c r="U128" s="116"/>
      <c r="V128" s="116"/>
      <c r="W128" s="116"/>
    </row>
    <row r="129" ht="15.75" customHeight="1">
      <c r="A129" s="116"/>
      <c r="B129" s="116"/>
      <c r="C129" s="117"/>
      <c r="D129" s="116"/>
      <c r="E129" s="116"/>
      <c r="F129" s="116"/>
      <c r="G129" s="116"/>
      <c r="H129" s="116"/>
      <c r="I129" s="116"/>
      <c r="J129" s="116"/>
      <c r="K129" s="116"/>
      <c r="L129" s="116"/>
      <c r="M129" s="116"/>
      <c r="N129" s="116"/>
      <c r="O129" s="116"/>
      <c r="P129" s="116"/>
      <c r="Q129" s="116"/>
      <c r="R129" s="116"/>
      <c r="S129" s="116"/>
      <c r="T129" s="116"/>
      <c r="U129" s="116"/>
      <c r="V129" s="116"/>
      <c r="W129" s="116"/>
    </row>
    <row r="130" ht="15.75" customHeight="1">
      <c r="A130" s="116"/>
      <c r="B130" s="116"/>
      <c r="C130" s="117"/>
      <c r="D130" s="116"/>
      <c r="E130" s="116"/>
      <c r="F130" s="116"/>
      <c r="G130" s="116"/>
      <c r="H130" s="116"/>
      <c r="I130" s="116"/>
      <c r="J130" s="116"/>
      <c r="K130" s="116"/>
      <c r="L130" s="116"/>
      <c r="M130" s="116"/>
      <c r="N130" s="116"/>
      <c r="O130" s="116"/>
      <c r="P130" s="116"/>
      <c r="Q130" s="116"/>
      <c r="R130" s="116"/>
      <c r="S130" s="116"/>
      <c r="T130" s="116"/>
      <c r="U130" s="116"/>
      <c r="V130" s="116"/>
      <c r="W130" s="116"/>
    </row>
    <row r="131" ht="15.75" customHeight="1">
      <c r="A131" s="116"/>
      <c r="B131" s="116"/>
      <c r="C131" s="117"/>
      <c r="D131" s="116"/>
      <c r="E131" s="116"/>
      <c r="F131" s="116"/>
      <c r="G131" s="116"/>
      <c r="H131" s="116"/>
      <c r="I131" s="116"/>
      <c r="J131" s="116"/>
      <c r="K131" s="116"/>
      <c r="L131" s="116"/>
      <c r="M131" s="116"/>
      <c r="N131" s="116"/>
      <c r="O131" s="116"/>
      <c r="P131" s="116"/>
      <c r="Q131" s="116"/>
      <c r="R131" s="116"/>
      <c r="S131" s="116"/>
      <c r="T131" s="116"/>
      <c r="U131" s="116"/>
      <c r="V131" s="116"/>
      <c r="W131" s="116"/>
    </row>
    <row r="132" ht="15.75" customHeight="1">
      <c r="A132" s="116"/>
      <c r="B132" s="116"/>
      <c r="C132" s="117"/>
      <c r="D132" s="116"/>
      <c r="E132" s="116"/>
      <c r="F132" s="116"/>
      <c r="G132" s="116"/>
      <c r="H132" s="116"/>
      <c r="I132" s="116"/>
      <c r="J132" s="116"/>
      <c r="K132" s="116"/>
      <c r="L132" s="116"/>
      <c r="M132" s="116"/>
      <c r="N132" s="116"/>
      <c r="O132" s="116"/>
      <c r="P132" s="116"/>
      <c r="Q132" s="116"/>
      <c r="R132" s="116"/>
      <c r="S132" s="116"/>
      <c r="T132" s="116"/>
      <c r="U132" s="116"/>
      <c r="V132" s="116"/>
      <c r="W132" s="116"/>
    </row>
    <row r="133" ht="15.75" customHeight="1">
      <c r="A133" s="116"/>
      <c r="B133" s="116"/>
      <c r="C133" s="117"/>
      <c r="D133" s="116"/>
      <c r="E133" s="116"/>
      <c r="F133" s="116"/>
      <c r="G133" s="116"/>
      <c r="H133" s="116"/>
      <c r="I133" s="116"/>
      <c r="J133" s="116"/>
      <c r="K133" s="116"/>
      <c r="L133" s="116"/>
      <c r="M133" s="116"/>
      <c r="N133" s="116"/>
      <c r="O133" s="116"/>
      <c r="P133" s="116"/>
      <c r="Q133" s="116"/>
      <c r="R133" s="116"/>
      <c r="S133" s="116"/>
      <c r="T133" s="116"/>
      <c r="U133" s="116"/>
      <c r="V133" s="116"/>
      <c r="W133" s="116"/>
    </row>
    <row r="134" ht="15.75" customHeight="1">
      <c r="A134" s="116"/>
      <c r="B134" s="116"/>
      <c r="C134" s="117"/>
      <c r="D134" s="116"/>
      <c r="E134" s="116"/>
      <c r="F134" s="116"/>
      <c r="G134" s="116"/>
      <c r="H134" s="116"/>
      <c r="I134" s="116"/>
      <c r="J134" s="116"/>
      <c r="K134" s="116"/>
      <c r="L134" s="116"/>
      <c r="M134" s="116"/>
      <c r="N134" s="116"/>
      <c r="O134" s="116"/>
      <c r="P134" s="116"/>
      <c r="Q134" s="116"/>
      <c r="R134" s="116"/>
      <c r="S134" s="116"/>
      <c r="T134" s="116"/>
      <c r="U134" s="116"/>
      <c r="V134" s="116"/>
      <c r="W134" s="116"/>
    </row>
    <row r="135" ht="15.75" customHeight="1">
      <c r="A135" s="116"/>
      <c r="B135" s="116"/>
      <c r="C135" s="117"/>
      <c r="D135" s="116"/>
      <c r="E135" s="116"/>
      <c r="F135" s="116"/>
      <c r="G135" s="116"/>
      <c r="H135" s="116"/>
      <c r="I135" s="116"/>
      <c r="J135" s="116"/>
      <c r="K135" s="116"/>
      <c r="L135" s="116"/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6"/>
    </row>
    <row r="136" ht="15.75" customHeight="1">
      <c r="A136" s="116"/>
      <c r="B136" s="116"/>
      <c r="C136" s="117"/>
      <c r="D136" s="116"/>
      <c r="E136" s="116"/>
      <c r="F136" s="116"/>
      <c r="G136" s="116"/>
      <c r="H136" s="116"/>
      <c r="I136" s="116"/>
      <c r="J136" s="116"/>
      <c r="K136" s="116"/>
      <c r="L136" s="116"/>
      <c r="M136" s="116"/>
      <c r="N136" s="116"/>
      <c r="O136" s="116"/>
      <c r="P136" s="116"/>
      <c r="Q136" s="116"/>
      <c r="R136" s="116"/>
      <c r="S136" s="116"/>
      <c r="T136" s="116"/>
      <c r="U136" s="116"/>
      <c r="V136" s="116"/>
      <c r="W136" s="116"/>
    </row>
    <row r="137" ht="15.75" customHeight="1">
      <c r="A137" s="116"/>
      <c r="B137" s="116"/>
      <c r="C137" s="117"/>
      <c r="D137" s="116"/>
      <c r="E137" s="116"/>
      <c r="F137" s="116"/>
      <c r="G137" s="116"/>
      <c r="H137" s="116"/>
      <c r="I137" s="116"/>
      <c r="J137" s="116"/>
      <c r="K137" s="116"/>
      <c r="L137" s="116"/>
      <c r="M137" s="116"/>
      <c r="N137" s="116"/>
      <c r="O137" s="116"/>
      <c r="P137" s="116"/>
      <c r="Q137" s="116"/>
      <c r="R137" s="116"/>
      <c r="S137" s="116"/>
      <c r="T137" s="116"/>
      <c r="U137" s="116"/>
      <c r="V137" s="116"/>
      <c r="W137" s="116"/>
    </row>
    <row r="138" ht="15.75" customHeight="1">
      <c r="A138" s="116"/>
      <c r="B138" s="116"/>
      <c r="C138" s="117"/>
      <c r="D138" s="116"/>
      <c r="E138" s="116"/>
      <c r="F138" s="116"/>
      <c r="G138" s="116"/>
      <c r="H138" s="116"/>
      <c r="I138" s="116"/>
      <c r="J138" s="116"/>
      <c r="K138" s="116"/>
      <c r="L138" s="116"/>
      <c r="M138" s="116"/>
      <c r="N138" s="116"/>
      <c r="O138" s="116"/>
      <c r="P138" s="116"/>
      <c r="Q138" s="116"/>
      <c r="R138" s="116"/>
      <c r="S138" s="116"/>
      <c r="T138" s="116"/>
      <c r="U138" s="116"/>
      <c r="V138" s="116"/>
      <c r="W138" s="116"/>
    </row>
    <row r="139" ht="15.75" customHeight="1">
      <c r="A139" s="116"/>
      <c r="B139" s="116"/>
      <c r="C139" s="117"/>
      <c r="D139" s="116"/>
      <c r="E139" s="116"/>
      <c r="F139" s="116"/>
      <c r="G139" s="116"/>
      <c r="H139" s="116"/>
      <c r="I139" s="116"/>
      <c r="J139" s="116"/>
      <c r="K139" s="116"/>
      <c r="L139" s="116"/>
      <c r="M139" s="116"/>
      <c r="N139" s="116"/>
      <c r="O139" s="116"/>
      <c r="P139" s="116"/>
      <c r="Q139" s="116"/>
      <c r="R139" s="116"/>
      <c r="S139" s="116"/>
      <c r="T139" s="116"/>
      <c r="U139" s="116"/>
      <c r="V139" s="116"/>
      <c r="W139" s="116"/>
    </row>
    <row r="140" ht="15.75" customHeight="1">
      <c r="A140" s="116"/>
      <c r="B140" s="116"/>
      <c r="C140" s="117"/>
      <c r="D140" s="116"/>
      <c r="E140" s="116"/>
      <c r="F140" s="116"/>
      <c r="G140" s="116"/>
      <c r="H140" s="116"/>
      <c r="I140" s="116"/>
      <c r="J140" s="116"/>
      <c r="K140" s="116"/>
      <c r="L140" s="116"/>
      <c r="M140" s="116"/>
      <c r="N140" s="116"/>
      <c r="O140" s="116"/>
      <c r="P140" s="116"/>
      <c r="Q140" s="116"/>
      <c r="R140" s="116"/>
      <c r="S140" s="116"/>
      <c r="T140" s="116"/>
      <c r="U140" s="116"/>
      <c r="V140" s="116"/>
      <c r="W140" s="116"/>
    </row>
    <row r="141" ht="15.75" customHeight="1">
      <c r="A141" s="116"/>
      <c r="B141" s="116"/>
      <c r="C141" s="117"/>
      <c r="D141" s="116"/>
      <c r="E141" s="116"/>
      <c r="F141" s="116"/>
      <c r="G141" s="116"/>
      <c r="H141" s="116"/>
      <c r="I141" s="116"/>
      <c r="J141" s="116"/>
      <c r="K141" s="116"/>
      <c r="L141" s="116"/>
      <c r="M141" s="116"/>
      <c r="N141" s="116"/>
      <c r="O141" s="116"/>
      <c r="P141" s="116"/>
      <c r="Q141" s="116"/>
      <c r="R141" s="116"/>
      <c r="S141" s="116"/>
      <c r="T141" s="116"/>
      <c r="U141" s="116"/>
      <c r="V141" s="116"/>
      <c r="W141" s="116"/>
    </row>
    <row r="142" ht="15.75" customHeight="1">
      <c r="A142" s="116"/>
      <c r="B142" s="116"/>
      <c r="C142" s="117"/>
      <c r="D142" s="116"/>
      <c r="E142" s="116"/>
      <c r="F142" s="116"/>
      <c r="G142" s="116"/>
      <c r="H142" s="116"/>
      <c r="I142" s="116"/>
      <c r="J142" s="116"/>
      <c r="K142" s="116"/>
      <c r="L142" s="116"/>
      <c r="M142" s="116"/>
      <c r="N142" s="116"/>
      <c r="O142" s="116"/>
      <c r="P142" s="116"/>
      <c r="Q142" s="116"/>
      <c r="R142" s="116"/>
      <c r="S142" s="116"/>
      <c r="T142" s="116"/>
      <c r="U142" s="116"/>
      <c r="V142" s="116"/>
      <c r="W142" s="116"/>
    </row>
    <row r="143" ht="15.75" customHeight="1">
      <c r="A143" s="116"/>
      <c r="B143" s="116"/>
      <c r="C143" s="117"/>
      <c r="D143" s="116"/>
      <c r="E143" s="116"/>
      <c r="F143" s="116"/>
      <c r="G143" s="116"/>
      <c r="H143" s="116"/>
      <c r="I143" s="116"/>
      <c r="J143" s="116"/>
      <c r="K143" s="116"/>
      <c r="L143" s="116"/>
      <c r="M143" s="116"/>
      <c r="N143" s="116"/>
      <c r="O143" s="116"/>
      <c r="P143" s="116"/>
      <c r="Q143" s="116"/>
      <c r="R143" s="116"/>
      <c r="S143" s="116"/>
      <c r="T143" s="116"/>
      <c r="U143" s="116"/>
      <c r="V143" s="116"/>
      <c r="W143" s="116"/>
    </row>
    <row r="144" ht="15.75" customHeight="1">
      <c r="A144" s="116"/>
      <c r="B144" s="116"/>
      <c r="C144" s="117"/>
      <c r="D144" s="116"/>
      <c r="E144" s="116"/>
      <c r="F144" s="116"/>
      <c r="G144" s="116"/>
      <c r="H144" s="116"/>
      <c r="I144" s="116"/>
      <c r="J144" s="116"/>
      <c r="K144" s="116"/>
      <c r="L144" s="116"/>
      <c r="M144" s="116"/>
      <c r="N144" s="116"/>
      <c r="O144" s="116"/>
      <c r="P144" s="116"/>
      <c r="Q144" s="116"/>
      <c r="R144" s="116"/>
      <c r="S144" s="116"/>
      <c r="T144" s="116"/>
      <c r="U144" s="116"/>
      <c r="V144" s="116"/>
      <c r="W144" s="116"/>
    </row>
    <row r="145" ht="15.75" customHeight="1">
      <c r="A145" s="116"/>
      <c r="B145" s="116"/>
      <c r="C145" s="117"/>
      <c r="D145" s="116"/>
      <c r="E145" s="116"/>
      <c r="F145" s="116"/>
      <c r="G145" s="116"/>
      <c r="H145" s="116"/>
      <c r="I145" s="116"/>
      <c r="J145" s="116"/>
      <c r="K145" s="116"/>
      <c r="L145" s="116"/>
      <c r="M145" s="116"/>
      <c r="N145" s="116"/>
      <c r="O145" s="116"/>
      <c r="P145" s="116"/>
      <c r="Q145" s="116"/>
      <c r="R145" s="116"/>
      <c r="S145" s="116"/>
      <c r="T145" s="116"/>
      <c r="U145" s="116"/>
      <c r="V145" s="116"/>
      <c r="W145" s="116"/>
    </row>
    <row r="146" ht="15.75" customHeight="1">
      <c r="A146" s="116"/>
      <c r="B146" s="116"/>
      <c r="C146" s="117"/>
      <c r="D146" s="116"/>
      <c r="E146" s="116"/>
      <c r="F146" s="116"/>
      <c r="G146" s="116"/>
      <c r="H146" s="116"/>
      <c r="I146" s="116"/>
      <c r="J146" s="116"/>
      <c r="K146" s="116"/>
      <c r="L146" s="116"/>
      <c r="M146" s="116"/>
      <c r="N146" s="116"/>
      <c r="O146" s="116"/>
      <c r="P146" s="116"/>
      <c r="Q146" s="116"/>
      <c r="R146" s="116"/>
      <c r="S146" s="116"/>
      <c r="T146" s="116"/>
      <c r="U146" s="116"/>
      <c r="V146" s="116"/>
      <c r="W146" s="116"/>
    </row>
    <row r="147" ht="15.75" customHeight="1">
      <c r="A147" s="116"/>
      <c r="B147" s="116"/>
      <c r="C147" s="117"/>
      <c r="D147" s="116"/>
      <c r="E147" s="116"/>
      <c r="F147" s="116"/>
      <c r="G147" s="116"/>
      <c r="H147" s="116"/>
      <c r="I147" s="116"/>
      <c r="J147" s="116"/>
      <c r="K147" s="116"/>
      <c r="L147" s="116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6"/>
    </row>
    <row r="148" ht="15.75" customHeight="1">
      <c r="A148" s="116"/>
      <c r="B148" s="116"/>
      <c r="C148" s="117"/>
      <c r="D148" s="116"/>
      <c r="E148" s="116"/>
      <c r="F148" s="116"/>
      <c r="G148" s="116"/>
      <c r="H148" s="116"/>
      <c r="I148" s="116"/>
      <c r="J148" s="116"/>
      <c r="K148" s="116"/>
      <c r="L148" s="116"/>
      <c r="M148" s="116"/>
      <c r="N148" s="116"/>
      <c r="O148" s="116"/>
      <c r="P148" s="116"/>
      <c r="Q148" s="116"/>
      <c r="R148" s="116"/>
      <c r="S148" s="116"/>
      <c r="T148" s="116"/>
      <c r="U148" s="116"/>
      <c r="V148" s="116"/>
      <c r="W148" s="116"/>
    </row>
    <row r="149" ht="15.75" customHeight="1">
      <c r="A149" s="116"/>
      <c r="B149" s="116"/>
      <c r="C149" s="117"/>
      <c r="D149" s="116"/>
      <c r="E149" s="116"/>
      <c r="F149" s="116"/>
      <c r="G149" s="116"/>
      <c r="H149" s="116"/>
      <c r="I149" s="116"/>
      <c r="J149" s="116"/>
      <c r="K149" s="116"/>
      <c r="L149" s="116"/>
      <c r="M149" s="116"/>
      <c r="N149" s="116"/>
      <c r="O149" s="116"/>
      <c r="P149" s="116"/>
      <c r="Q149" s="116"/>
      <c r="R149" s="116"/>
      <c r="S149" s="116"/>
      <c r="T149" s="116"/>
      <c r="U149" s="116"/>
      <c r="V149" s="116"/>
      <c r="W149" s="116"/>
    </row>
    <row r="150" ht="15.75" customHeight="1">
      <c r="A150" s="116"/>
      <c r="B150" s="116"/>
      <c r="C150" s="117"/>
      <c r="D150" s="116"/>
      <c r="E150" s="116"/>
      <c r="F150" s="116"/>
      <c r="G150" s="116"/>
      <c r="H150" s="116"/>
      <c r="I150" s="116"/>
      <c r="J150" s="116"/>
      <c r="K150" s="116"/>
      <c r="L150" s="116"/>
      <c r="M150" s="116"/>
      <c r="N150" s="116"/>
      <c r="O150" s="116"/>
      <c r="P150" s="116"/>
      <c r="Q150" s="116"/>
      <c r="R150" s="116"/>
      <c r="S150" s="116"/>
      <c r="T150" s="116"/>
      <c r="U150" s="116"/>
      <c r="V150" s="116"/>
      <c r="W150" s="116"/>
    </row>
    <row r="151" ht="15.75" customHeight="1">
      <c r="A151" s="116"/>
      <c r="B151" s="116"/>
      <c r="C151" s="117"/>
      <c r="D151" s="116"/>
      <c r="E151" s="116"/>
      <c r="F151" s="116"/>
      <c r="G151" s="116"/>
      <c r="H151" s="116"/>
      <c r="I151" s="116"/>
      <c r="J151" s="116"/>
      <c r="K151" s="116"/>
      <c r="L151" s="116"/>
      <c r="M151" s="116"/>
      <c r="N151" s="116"/>
      <c r="O151" s="116"/>
      <c r="P151" s="116"/>
      <c r="Q151" s="116"/>
      <c r="R151" s="116"/>
      <c r="S151" s="116"/>
      <c r="T151" s="116"/>
      <c r="U151" s="116"/>
      <c r="V151" s="116"/>
      <c r="W151" s="116"/>
    </row>
    <row r="152" ht="15.75" customHeight="1">
      <c r="A152" s="116"/>
      <c r="B152" s="116"/>
      <c r="C152" s="117"/>
      <c r="D152" s="116"/>
      <c r="E152" s="116"/>
      <c r="F152" s="116"/>
      <c r="G152" s="116"/>
      <c r="H152" s="116"/>
      <c r="I152" s="116"/>
      <c r="J152" s="116"/>
      <c r="K152" s="116"/>
      <c r="L152" s="116"/>
      <c r="M152" s="116"/>
      <c r="N152" s="116"/>
      <c r="O152" s="116"/>
      <c r="P152" s="116"/>
      <c r="Q152" s="116"/>
      <c r="R152" s="116"/>
      <c r="S152" s="116"/>
      <c r="T152" s="116"/>
      <c r="U152" s="116"/>
      <c r="V152" s="116"/>
      <c r="W152" s="116"/>
    </row>
    <row r="153" ht="15.75" customHeight="1">
      <c r="A153" s="116"/>
      <c r="B153" s="116"/>
      <c r="C153" s="117"/>
      <c r="D153" s="116"/>
      <c r="E153" s="116"/>
      <c r="F153" s="116"/>
      <c r="G153" s="116"/>
      <c r="H153" s="116"/>
      <c r="I153" s="116"/>
      <c r="J153" s="116"/>
      <c r="K153" s="116"/>
      <c r="L153" s="116"/>
      <c r="M153" s="116"/>
      <c r="N153" s="116"/>
      <c r="O153" s="116"/>
      <c r="P153" s="116"/>
      <c r="Q153" s="116"/>
      <c r="R153" s="116"/>
      <c r="S153" s="116"/>
      <c r="T153" s="116"/>
      <c r="U153" s="116"/>
      <c r="V153" s="116"/>
      <c r="W153" s="116"/>
    </row>
    <row r="154" ht="15.75" customHeight="1">
      <c r="A154" s="116"/>
      <c r="B154" s="116"/>
      <c r="C154" s="117"/>
      <c r="D154" s="116"/>
      <c r="E154" s="116"/>
      <c r="F154" s="116"/>
      <c r="G154" s="116"/>
      <c r="H154" s="116"/>
      <c r="I154" s="116"/>
      <c r="J154" s="116"/>
      <c r="K154" s="116"/>
      <c r="L154" s="116"/>
      <c r="M154" s="116"/>
      <c r="N154" s="116"/>
      <c r="O154" s="116"/>
      <c r="P154" s="116"/>
      <c r="Q154" s="116"/>
      <c r="R154" s="116"/>
      <c r="S154" s="116"/>
      <c r="T154" s="116"/>
      <c r="U154" s="116"/>
      <c r="V154" s="116"/>
      <c r="W154" s="116"/>
    </row>
    <row r="155" ht="15.75" customHeight="1">
      <c r="A155" s="116"/>
      <c r="B155" s="116"/>
      <c r="C155" s="117"/>
      <c r="D155" s="116"/>
      <c r="E155" s="116"/>
      <c r="F155" s="116"/>
      <c r="G155" s="116"/>
      <c r="H155" s="116"/>
      <c r="I155" s="116"/>
      <c r="J155" s="116"/>
      <c r="K155" s="116"/>
      <c r="L155" s="116"/>
      <c r="M155" s="116"/>
      <c r="N155" s="116"/>
      <c r="O155" s="116"/>
      <c r="P155" s="116"/>
      <c r="Q155" s="116"/>
      <c r="R155" s="116"/>
      <c r="S155" s="116"/>
      <c r="T155" s="116"/>
      <c r="U155" s="116"/>
      <c r="V155" s="116"/>
      <c r="W155" s="116"/>
    </row>
    <row r="156" ht="15.75" customHeight="1">
      <c r="A156" s="116"/>
      <c r="B156" s="116"/>
      <c r="C156" s="117"/>
      <c r="D156" s="116"/>
      <c r="E156" s="116"/>
      <c r="F156" s="116"/>
      <c r="G156" s="116"/>
      <c r="H156" s="116"/>
      <c r="I156" s="116"/>
      <c r="J156" s="116"/>
      <c r="K156" s="116"/>
      <c r="L156" s="116"/>
      <c r="M156" s="116"/>
      <c r="N156" s="116"/>
      <c r="O156" s="116"/>
      <c r="P156" s="116"/>
      <c r="Q156" s="116"/>
      <c r="R156" s="116"/>
      <c r="S156" s="116"/>
      <c r="T156" s="116"/>
      <c r="U156" s="116"/>
      <c r="V156" s="116"/>
      <c r="W156" s="116"/>
    </row>
    <row r="157" ht="15.75" customHeight="1">
      <c r="A157" s="116"/>
      <c r="B157" s="116"/>
      <c r="C157" s="117"/>
      <c r="D157" s="116"/>
      <c r="E157" s="116"/>
      <c r="F157" s="116"/>
      <c r="G157" s="116"/>
      <c r="H157" s="116"/>
      <c r="I157" s="116"/>
      <c r="J157" s="116"/>
      <c r="K157" s="116"/>
      <c r="L157" s="116"/>
      <c r="M157" s="116"/>
      <c r="N157" s="116"/>
      <c r="O157" s="116"/>
      <c r="P157" s="116"/>
      <c r="Q157" s="116"/>
      <c r="R157" s="116"/>
      <c r="S157" s="116"/>
      <c r="T157" s="116"/>
      <c r="U157" s="116"/>
      <c r="V157" s="116"/>
      <c r="W157" s="116"/>
    </row>
    <row r="158" ht="15.75" customHeight="1">
      <c r="A158" s="116"/>
      <c r="B158" s="116"/>
      <c r="C158" s="117"/>
      <c r="D158" s="116"/>
      <c r="E158" s="116"/>
      <c r="F158" s="116"/>
      <c r="G158" s="116"/>
      <c r="H158" s="116"/>
      <c r="I158" s="116"/>
      <c r="J158" s="116"/>
      <c r="K158" s="116"/>
      <c r="L158" s="116"/>
      <c r="M158" s="116"/>
      <c r="N158" s="116"/>
      <c r="O158" s="116"/>
      <c r="P158" s="116"/>
      <c r="Q158" s="116"/>
      <c r="R158" s="116"/>
      <c r="S158" s="116"/>
      <c r="T158" s="116"/>
      <c r="U158" s="116"/>
      <c r="V158" s="116"/>
      <c r="W158" s="116"/>
    </row>
    <row r="159" ht="15.75" customHeight="1">
      <c r="A159" s="116"/>
      <c r="B159" s="116"/>
      <c r="C159" s="117"/>
      <c r="D159" s="116"/>
      <c r="E159" s="116"/>
      <c r="F159" s="116"/>
      <c r="G159" s="116"/>
      <c r="H159" s="116"/>
      <c r="I159" s="116"/>
      <c r="J159" s="116"/>
      <c r="K159" s="116"/>
      <c r="L159" s="116"/>
      <c r="M159" s="116"/>
      <c r="N159" s="116"/>
      <c r="O159" s="116"/>
      <c r="P159" s="116"/>
      <c r="Q159" s="116"/>
      <c r="R159" s="116"/>
      <c r="S159" s="116"/>
      <c r="T159" s="116"/>
      <c r="U159" s="116"/>
      <c r="V159" s="116"/>
      <c r="W159" s="116"/>
    </row>
    <row r="160" ht="15.75" customHeight="1">
      <c r="A160" s="116"/>
      <c r="B160" s="116"/>
      <c r="C160" s="117"/>
      <c r="D160" s="116"/>
      <c r="E160" s="116"/>
      <c r="F160" s="116"/>
      <c r="G160" s="116"/>
      <c r="H160" s="116"/>
      <c r="I160" s="116"/>
      <c r="J160" s="116"/>
      <c r="K160" s="116"/>
      <c r="L160" s="116"/>
      <c r="M160" s="116"/>
      <c r="N160" s="116"/>
      <c r="O160" s="116"/>
      <c r="P160" s="116"/>
      <c r="Q160" s="116"/>
      <c r="R160" s="116"/>
      <c r="S160" s="116"/>
      <c r="T160" s="116"/>
      <c r="U160" s="116"/>
      <c r="V160" s="116"/>
      <c r="W160" s="116"/>
    </row>
    <row r="161" ht="15.75" customHeight="1">
      <c r="A161" s="116"/>
      <c r="B161" s="116"/>
      <c r="C161" s="117"/>
      <c r="D161" s="116"/>
      <c r="E161" s="116"/>
      <c r="F161" s="116"/>
      <c r="G161" s="116"/>
      <c r="H161" s="116"/>
      <c r="I161" s="116"/>
      <c r="J161" s="116"/>
      <c r="K161" s="116"/>
      <c r="L161" s="116"/>
      <c r="M161" s="116"/>
      <c r="N161" s="116"/>
      <c r="O161" s="116"/>
      <c r="P161" s="116"/>
      <c r="Q161" s="116"/>
      <c r="R161" s="116"/>
      <c r="S161" s="116"/>
      <c r="T161" s="116"/>
      <c r="U161" s="116"/>
      <c r="V161" s="116"/>
      <c r="W161" s="116"/>
    </row>
    <row r="162" ht="15.75" customHeight="1">
      <c r="A162" s="116"/>
      <c r="B162" s="116"/>
      <c r="C162" s="117"/>
      <c r="D162" s="116"/>
      <c r="E162" s="116"/>
      <c r="F162" s="116"/>
      <c r="G162" s="116"/>
      <c r="H162" s="116"/>
      <c r="I162" s="116"/>
      <c r="J162" s="116"/>
      <c r="K162" s="116"/>
      <c r="L162" s="116"/>
      <c r="M162" s="116"/>
      <c r="N162" s="116"/>
      <c r="O162" s="116"/>
      <c r="P162" s="116"/>
      <c r="Q162" s="116"/>
      <c r="R162" s="116"/>
      <c r="S162" s="116"/>
      <c r="T162" s="116"/>
      <c r="U162" s="116"/>
      <c r="V162" s="116"/>
      <c r="W162" s="116"/>
    </row>
    <row r="163" ht="15.75" customHeight="1">
      <c r="A163" s="116"/>
      <c r="B163" s="116"/>
      <c r="C163" s="117"/>
      <c r="D163" s="116"/>
      <c r="E163" s="116"/>
      <c r="F163" s="116"/>
      <c r="G163" s="116"/>
      <c r="H163" s="116"/>
      <c r="I163" s="116"/>
      <c r="J163" s="116"/>
      <c r="K163" s="116"/>
      <c r="L163" s="116"/>
      <c r="M163" s="116"/>
      <c r="N163" s="116"/>
      <c r="O163" s="116"/>
      <c r="P163" s="116"/>
      <c r="Q163" s="116"/>
      <c r="R163" s="116"/>
      <c r="S163" s="116"/>
      <c r="T163" s="116"/>
      <c r="U163" s="116"/>
      <c r="V163" s="116"/>
      <c r="W163" s="116"/>
    </row>
    <row r="164" ht="15.75" customHeight="1">
      <c r="A164" s="116"/>
      <c r="B164" s="116"/>
      <c r="C164" s="117"/>
      <c r="D164" s="116"/>
      <c r="E164" s="116"/>
      <c r="F164" s="116"/>
      <c r="G164" s="116"/>
      <c r="H164" s="116"/>
      <c r="I164" s="116"/>
      <c r="J164" s="116"/>
      <c r="K164" s="116"/>
      <c r="L164" s="116"/>
      <c r="M164" s="116"/>
      <c r="N164" s="116"/>
      <c r="O164" s="116"/>
      <c r="P164" s="116"/>
      <c r="Q164" s="116"/>
      <c r="R164" s="116"/>
      <c r="S164" s="116"/>
      <c r="T164" s="116"/>
      <c r="U164" s="116"/>
      <c r="V164" s="116"/>
      <c r="W164" s="116"/>
    </row>
    <row r="165" ht="15.75" customHeight="1">
      <c r="A165" s="116"/>
      <c r="B165" s="116"/>
      <c r="C165" s="117"/>
      <c r="D165" s="116"/>
      <c r="E165" s="116"/>
      <c r="F165" s="116"/>
      <c r="G165" s="116"/>
      <c r="H165" s="116"/>
      <c r="I165" s="116"/>
      <c r="J165" s="116"/>
      <c r="K165" s="116"/>
      <c r="L165" s="116"/>
      <c r="M165" s="116"/>
      <c r="N165" s="116"/>
      <c r="O165" s="116"/>
      <c r="P165" s="116"/>
      <c r="Q165" s="116"/>
      <c r="R165" s="116"/>
      <c r="S165" s="116"/>
      <c r="T165" s="116"/>
      <c r="U165" s="116"/>
      <c r="V165" s="116"/>
      <c r="W165" s="116"/>
    </row>
    <row r="166" ht="15.75" customHeight="1">
      <c r="A166" s="116"/>
      <c r="B166" s="116"/>
      <c r="C166" s="117"/>
      <c r="D166" s="116"/>
      <c r="E166" s="116"/>
      <c r="F166" s="116"/>
      <c r="G166" s="116"/>
      <c r="H166" s="116"/>
      <c r="I166" s="116"/>
      <c r="J166" s="116"/>
      <c r="K166" s="116"/>
      <c r="L166" s="116"/>
      <c r="M166" s="116"/>
      <c r="N166" s="116"/>
      <c r="O166" s="116"/>
      <c r="P166" s="116"/>
      <c r="Q166" s="116"/>
      <c r="R166" s="116"/>
      <c r="S166" s="116"/>
      <c r="T166" s="116"/>
      <c r="U166" s="116"/>
      <c r="V166" s="116"/>
      <c r="W166" s="116"/>
    </row>
    <row r="167" ht="15.75" customHeight="1">
      <c r="A167" s="116"/>
      <c r="B167" s="116"/>
      <c r="C167" s="117"/>
      <c r="D167" s="116"/>
      <c r="E167" s="116"/>
      <c r="F167" s="116"/>
      <c r="G167" s="116"/>
      <c r="H167" s="116"/>
      <c r="I167" s="116"/>
      <c r="J167" s="116"/>
      <c r="K167" s="116"/>
      <c r="L167" s="116"/>
      <c r="M167" s="116"/>
      <c r="N167" s="116"/>
      <c r="O167" s="116"/>
      <c r="P167" s="116"/>
      <c r="Q167" s="116"/>
      <c r="R167" s="116"/>
      <c r="S167" s="116"/>
      <c r="T167" s="116"/>
      <c r="U167" s="116"/>
      <c r="V167" s="116"/>
      <c r="W167" s="116"/>
    </row>
    <row r="168" ht="15.75" customHeight="1">
      <c r="A168" s="116"/>
      <c r="B168" s="116"/>
      <c r="C168" s="117"/>
      <c r="D168" s="116"/>
      <c r="E168" s="116"/>
      <c r="F168" s="116"/>
      <c r="G168" s="116"/>
      <c r="H168" s="116"/>
      <c r="I168" s="116"/>
      <c r="J168" s="116"/>
      <c r="K168" s="116"/>
      <c r="L168" s="116"/>
      <c r="M168" s="116"/>
      <c r="N168" s="116"/>
      <c r="O168" s="116"/>
      <c r="P168" s="116"/>
      <c r="Q168" s="116"/>
      <c r="R168" s="116"/>
      <c r="S168" s="116"/>
      <c r="T168" s="116"/>
      <c r="U168" s="116"/>
      <c r="V168" s="116"/>
      <c r="W168" s="116"/>
    </row>
    <row r="169" ht="15.75" customHeight="1">
      <c r="A169" s="116"/>
      <c r="B169" s="116"/>
      <c r="C169" s="117"/>
      <c r="D169" s="116"/>
      <c r="E169" s="116"/>
      <c r="F169" s="116"/>
      <c r="G169" s="116"/>
      <c r="H169" s="116"/>
      <c r="I169" s="116"/>
      <c r="J169" s="116"/>
      <c r="K169" s="116"/>
      <c r="L169" s="116"/>
      <c r="M169" s="116"/>
      <c r="N169" s="116"/>
      <c r="O169" s="116"/>
      <c r="P169" s="116"/>
      <c r="Q169" s="116"/>
      <c r="R169" s="116"/>
      <c r="S169" s="116"/>
      <c r="T169" s="116"/>
      <c r="U169" s="116"/>
      <c r="V169" s="116"/>
      <c r="W169" s="116"/>
    </row>
    <row r="170" ht="15.75" customHeight="1">
      <c r="A170" s="116"/>
      <c r="B170" s="116"/>
      <c r="C170" s="117"/>
      <c r="D170" s="116"/>
      <c r="E170" s="116"/>
      <c r="F170" s="116"/>
      <c r="G170" s="116"/>
      <c r="H170" s="116"/>
      <c r="I170" s="116"/>
      <c r="J170" s="116"/>
      <c r="K170" s="116"/>
      <c r="L170" s="116"/>
      <c r="M170" s="116"/>
      <c r="N170" s="116"/>
      <c r="O170" s="116"/>
      <c r="P170" s="116"/>
      <c r="Q170" s="116"/>
      <c r="R170" s="116"/>
      <c r="S170" s="116"/>
      <c r="T170" s="116"/>
      <c r="U170" s="116"/>
      <c r="V170" s="116"/>
      <c r="W170" s="116"/>
    </row>
    <row r="171" ht="15.75" customHeight="1">
      <c r="A171" s="116"/>
      <c r="B171" s="116"/>
      <c r="C171" s="117"/>
      <c r="D171" s="116"/>
      <c r="E171" s="116"/>
      <c r="F171" s="116"/>
      <c r="G171" s="116"/>
      <c r="H171" s="116"/>
      <c r="I171" s="116"/>
      <c r="J171" s="116"/>
      <c r="K171" s="116"/>
      <c r="L171" s="116"/>
      <c r="M171" s="116"/>
      <c r="N171" s="116"/>
      <c r="O171" s="116"/>
      <c r="P171" s="116"/>
      <c r="Q171" s="116"/>
      <c r="R171" s="116"/>
      <c r="S171" s="116"/>
      <c r="T171" s="116"/>
      <c r="U171" s="116"/>
      <c r="V171" s="116"/>
      <c r="W171" s="116"/>
    </row>
    <row r="172" ht="15.75" customHeight="1">
      <c r="A172" s="116"/>
      <c r="B172" s="116"/>
      <c r="C172" s="117"/>
      <c r="D172" s="116"/>
      <c r="E172" s="116"/>
      <c r="F172" s="116"/>
      <c r="G172" s="116"/>
      <c r="H172" s="116"/>
      <c r="I172" s="116"/>
      <c r="J172" s="116"/>
      <c r="K172" s="116"/>
      <c r="L172" s="116"/>
      <c r="M172" s="116"/>
      <c r="N172" s="116"/>
      <c r="O172" s="116"/>
      <c r="P172" s="116"/>
      <c r="Q172" s="116"/>
      <c r="R172" s="116"/>
      <c r="S172" s="116"/>
      <c r="T172" s="116"/>
      <c r="U172" s="116"/>
      <c r="V172" s="116"/>
      <c r="W172" s="116"/>
    </row>
    <row r="173" ht="15.75" customHeight="1">
      <c r="A173" s="116"/>
      <c r="B173" s="116"/>
      <c r="C173" s="117"/>
      <c r="D173" s="116"/>
      <c r="E173" s="116"/>
      <c r="F173" s="116"/>
      <c r="G173" s="116"/>
      <c r="H173" s="116"/>
      <c r="I173" s="116"/>
      <c r="J173" s="116"/>
      <c r="K173" s="116"/>
      <c r="L173" s="116"/>
      <c r="M173" s="116"/>
      <c r="N173" s="116"/>
      <c r="O173" s="116"/>
      <c r="P173" s="116"/>
      <c r="Q173" s="116"/>
      <c r="R173" s="116"/>
      <c r="S173" s="116"/>
      <c r="T173" s="116"/>
      <c r="U173" s="116"/>
      <c r="V173" s="116"/>
      <c r="W173" s="116"/>
    </row>
    <row r="174" ht="15.75" customHeight="1">
      <c r="A174" s="116"/>
      <c r="B174" s="116"/>
      <c r="C174" s="117"/>
      <c r="D174" s="116"/>
      <c r="E174" s="116"/>
      <c r="F174" s="116"/>
      <c r="G174" s="116"/>
      <c r="H174" s="116"/>
      <c r="I174" s="116"/>
      <c r="J174" s="116"/>
      <c r="K174" s="116"/>
      <c r="L174" s="116"/>
      <c r="M174" s="116"/>
      <c r="N174" s="116"/>
      <c r="O174" s="116"/>
      <c r="P174" s="116"/>
      <c r="Q174" s="116"/>
      <c r="R174" s="116"/>
      <c r="S174" s="116"/>
      <c r="T174" s="116"/>
      <c r="U174" s="116"/>
      <c r="V174" s="116"/>
      <c r="W174" s="116"/>
    </row>
    <row r="175" ht="15.75" customHeight="1">
      <c r="A175" s="116"/>
      <c r="B175" s="116"/>
      <c r="C175" s="117"/>
      <c r="D175" s="116"/>
      <c r="E175" s="116"/>
      <c r="F175" s="116"/>
      <c r="G175" s="116"/>
      <c r="H175" s="116"/>
      <c r="I175" s="116"/>
      <c r="J175" s="116"/>
      <c r="K175" s="116"/>
      <c r="L175" s="116"/>
      <c r="M175" s="116"/>
      <c r="N175" s="116"/>
      <c r="O175" s="116"/>
      <c r="P175" s="116"/>
      <c r="Q175" s="116"/>
      <c r="R175" s="116"/>
      <c r="S175" s="116"/>
      <c r="T175" s="116"/>
      <c r="U175" s="116"/>
      <c r="V175" s="116"/>
      <c r="W175" s="116"/>
    </row>
    <row r="176" ht="15.75" customHeight="1">
      <c r="A176" s="116"/>
      <c r="B176" s="116"/>
      <c r="C176" s="117"/>
      <c r="D176" s="116"/>
      <c r="E176" s="116"/>
      <c r="F176" s="116"/>
      <c r="G176" s="116"/>
      <c r="H176" s="116"/>
      <c r="I176" s="116"/>
      <c r="J176" s="116"/>
      <c r="K176" s="116"/>
      <c r="L176" s="116"/>
      <c r="M176" s="116"/>
      <c r="N176" s="116"/>
      <c r="O176" s="116"/>
      <c r="P176" s="116"/>
      <c r="Q176" s="116"/>
      <c r="R176" s="116"/>
      <c r="S176" s="116"/>
      <c r="T176" s="116"/>
      <c r="U176" s="116"/>
      <c r="V176" s="116"/>
      <c r="W176" s="116"/>
    </row>
    <row r="177" ht="15.75" customHeight="1">
      <c r="A177" s="116"/>
      <c r="B177" s="116"/>
      <c r="C177" s="117"/>
      <c r="D177" s="116"/>
      <c r="E177" s="116"/>
      <c r="F177" s="116"/>
      <c r="G177" s="116"/>
      <c r="H177" s="116"/>
      <c r="I177" s="116"/>
      <c r="J177" s="116"/>
      <c r="K177" s="116"/>
      <c r="L177" s="116"/>
      <c r="M177" s="116"/>
      <c r="N177" s="116"/>
      <c r="O177" s="116"/>
      <c r="P177" s="116"/>
      <c r="Q177" s="116"/>
      <c r="R177" s="116"/>
      <c r="S177" s="116"/>
      <c r="T177" s="116"/>
      <c r="U177" s="116"/>
      <c r="V177" s="116"/>
      <c r="W177" s="116"/>
    </row>
    <row r="178" ht="15.75" customHeight="1">
      <c r="A178" s="116"/>
      <c r="B178" s="116"/>
      <c r="C178" s="117"/>
      <c r="D178" s="116"/>
      <c r="E178" s="116"/>
      <c r="F178" s="116"/>
      <c r="G178" s="116"/>
      <c r="H178" s="116"/>
      <c r="I178" s="116"/>
      <c r="J178" s="116"/>
      <c r="K178" s="116"/>
      <c r="L178" s="116"/>
      <c r="M178" s="116"/>
      <c r="N178" s="116"/>
      <c r="O178" s="116"/>
      <c r="P178" s="116"/>
      <c r="Q178" s="116"/>
      <c r="R178" s="116"/>
      <c r="S178" s="116"/>
      <c r="T178" s="116"/>
      <c r="U178" s="116"/>
      <c r="V178" s="116"/>
      <c r="W178" s="116"/>
    </row>
    <row r="179" ht="15.75" customHeight="1">
      <c r="A179" s="116"/>
      <c r="B179" s="116"/>
      <c r="C179" s="117"/>
      <c r="D179" s="116"/>
      <c r="E179" s="116"/>
      <c r="F179" s="116"/>
      <c r="G179" s="116"/>
      <c r="H179" s="116"/>
      <c r="I179" s="116"/>
      <c r="J179" s="116"/>
      <c r="K179" s="116"/>
      <c r="L179" s="116"/>
      <c r="M179" s="116"/>
      <c r="N179" s="116"/>
      <c r="O179" s="116"/>
      <c r="P179" s="116"/>
      <c r="Q179" s="116"/>
      <c r="R179" s="116"/>
      <c r="S179" s="116"/>
      <c r="T179" s="116"/>
      <c r="U179" s="116"/>
      <c r="V179" s="116"/>
      <c r="W179" s="116"/>
    </row>
    <row r="180" ht="15.75" customHeight="1">
      <c r="A180" s="116"/>
      <c r="B180" s="116"/>
      <c r="C180" s="117"/>
      <c r="D180" s="116"/>
      <c r="E180" s="116"/>
      <c r="F180" s="116"/>
      <c r="G180" s="116"/>
      <c r="H180" s="116"/>
      <c r="I180" s="116"/>
      <c r="J180" s="116"/>
      <c r="K180" s="116"/>
      <c r="L180" s="116"/>
      <c r="M180" s="116"/>
      <c r="N180" s="116"/>
      <c r="O180" s="116"/>
      <c r="P180" s="116"/>
      <c r="Q180" s="116"/>
      <c r="R180" s="116"/>
      <c r="S180" s="116"/>
      <c r="T180" s="116"/>
      <c r="U180" s="116"/>
      <c r="V180" s="116"/>
      <c r="W180" s="116"/>
    </row>
    <row r="181" ht="15.75" customHeight="1">
      <c r="A181" s="116"/>
      <c r="B181" s="116"/>
      <c r="C181" s="117"/>
      <c r="D181" s="116"/>
      <c r="E181" s="116"/>
      <c r="F181" s="116"/>
      <c r="G181" s="116"/>
      <c r="H181" s="116"/>
      <c r="I181" s="116"/>
      <c r="J181" s="116"/>
      <c r="K181" s="116"/>
      <c r="L181" s="116"/>
      <c r="M181" s="116"/>
      <c r="N181" s="116"/>
      <c r="O181" s="116"/>
      <c r="P181" s="116"/>
      <c r="Q181" s="116"/>
      <c r="R181" s="116"/>
      <c r="S181" s="116"/>
      <c r="T181" s="116"/>
      <c r="U181" s="116"/>
      <c r="V181" s="116"/>
      <c r="W181" s="116"/>
    </row>
    <row r="182" ht="15.75" customHeight="1">
      <c r="A182" s="116"/>
      <c r="B182" s="116"/>
      <c r="C182" s="117"/>
      <c r="D182" s="116"/>
      <c r="E182" s="116"/>
      <c r="F182" s="116"/>
      <c r="G182" s="116"/>
      <c r="H182" s="116"/>
      <c r="I182" s="116"/>
      <c r="J182" s="116"/>
      <c r="K182" s="116"/>
      <c r="L182" s="116"/>
      <c r="M182" s="116"/>
      <c r="N182" s="116"/>
      <c r="O182" s="116"/>
      <c r="P182" s="116"/>
      <c r="Q182" s="116"/>
      <c r="R182" s="116"/>
      <c r="S182" s="116"/>
      <c r="T182" s="116"/>
      <c r="U182" s="116"/>
      <c r="V182" s="116"/>
      <c r="W182" s="116"/>
    </row>
    <row r="183" ht="15.75" customHeight="1">
      <c r="A183" s="116"/>
      <c r="B183" s="116"/>
      <c r="C183" s="117"/>
      <c r="D183" s="116"/>
      <c r="E183" s="116"/>
      <c r="F183" s="116"/>
      <c r="G183" s="116"/>
      <c r="H183" s="116"/>
      <c r="I183" s="116"/>
      <c r="J183" s="116"/>
      <c r="K183" s="116"/>
      <c r="L183" s="116"/>
      <c r="M183" s="116"/>
      <c r="N183" s="116"/>
      <c r="O183" s="116"/>
      <c r="P183" s="116"/>
      <c r="Q183" s="116"/>
      <c r="R183" s="116"/>
      <c r="S183" s="116"/>
      <c r="T183" s="116"/>
      <c r="U183" s="116"/>
      <c r="V183" s="116"/>
      <c r="W183" s="116"/>
    </row>
    <row r="184" ht="15.75" customHeight="1">
      <c r="A184" s="116"/>
      <c r="B184" s="116"/>
      <c r="C184" s="117"/>
      <c r="D184" s="116"/>
      <c r="E184" s="116"/>
      <c r="F184" s="116"/>
      <c r="G184" s="116"/>
      <c r="H184" s="116"/>
      <c r="I184" s="116"/>
      <c r="J184" s="116"/>
      <c r="K184" s="116"/>
      <c r="L184" s="116"/>
      <c r="M184" s="116"/>
      <c r="N184" s="116"/>
      <c r="O184" s="116"/>
      <c r="P184" s="116"/>
      <c r="Q184" s="116"/>
      <c r="R184" s="116"/>
      <c r="S184" s="116"/>
      <c r="T184" s="116"/>
      <c r="U184" s="116"/>
      <c r="V184" s="116"/>
      <c r="W184" s="116"/>
    </row>
    <row r="185" ht="15.75" customHeight="1">
      <c r="A185" s="116"/>
      <c r="B185" s="116"/>
      <c r="C185" s="117"/>
      <c r="D185" s="116"/>
      <c r="E185" s="116"/>
      <c r="F185" s="116"/>
      <c r="G185" s="116"/>
      <c r="H185" s="116"/>
      <c r="I185" s="116"/>
      <c r="J185" s="116"/>
      <c r="K185" s="116"/>
      <c r="L185" s="116"/>
      <c r="M185" s="116"/>
      <c r="N185" s="116"/>
      <c r="O185" s="116"/>
      <c r="P185" s="116"/>
      <c r="Q185" s="116"/>
      <c r="R185" s="116"/>
      <c r="S185" s="116"/>
      <c r="T185" s="116"/>
      <c r="U185" s="116"/>
      <c r="V185" s="116"/>
      <c r="W185" s="116"/>
    </row>
    <row r="186" ht="15.75" customHeight="1">
      <c r="A186" s="116"/>
      <c r="B186" s="116"/>
      <c r="C186" s="117"/>
      <c r="D186" s="116"/>
      <c r="E186" s="116"/>
      <c r="F186" s="116"/>
      <c r="G186" s="116"/>
      <c r="H186" s="116"/>
      <c r="I186" s="116"/>
      <c r="J186" s="116"/>
      <c r="K186" s="116"/>
      <c r="L186" s="116"/>
      <c r="M186" s="116"/>
      <c r="N186" s="116"/>
      <c r="O186" s="116"/>
      <c r="P186" s="116"/>
      <c r="Q186" s="116"/>
      <c r="R186" s="116"/>
      <c r="S186" s="116"/>
      <c r="T186" s="116"/>
      <c r="U186" s="116"/>
      <c r="V186" s="116"/>
      <c r="W186" s="116"/>
    </row>
    <row r="187" ht="15.75" customHeight="1">
      <c r="A187" s="116"/>
      <c r="B187" s="116"/>
      <c r="C187" s="117"/>
      <c r="D187" s="116"/>
      <c r="E187" s="116"/>
      <c r="F187" s="116"/>
      <c r="G187" s="116"/>
      <c r="H187" s="116"/>
      <c r="I187" s="116"/>
      <c r="J187" s="116"/>
      <c r="K187" s="116"/>
      <c r="L187" s="116"/>
      <c r="M187" s="116"/>
      <c r="N187" s="116"/>
      <c r="O187" s="116"/>
      <c r="P187" s="116"/>
      <c r="Q187" s="116"/>
      <c r="R187" s="116"/>
      <c r="S187" s="116"/>
      <c r="T187" s="116"/>
      <c r="U187" s="116"/>
      <c r="V187" s="116"/>
      <c r="W187" s="116"/>
    </row>
    <row r="188" ht="15.75" customHeight="1">
      <c r="A188" s="116"/>
      <c r="B188" s="116"/>
      <c r="C188" s="117"/>
      <c r="D188" s="116"/>
      <c r="E188" s="116"/>
      <c r="F188" s="116"/>
      <c r="G188" s="116"/>
      <c r="H188" s="116"/>
      <c r="I188" s="116"/>
      <c r="J188" s="116"/>
      <c r="K188" s="116"/>
      <c r="L188" s="116"/>
      <c r="M188" s="116"/>
      <c r="N188" s="116"/>
      <c r="O188" s="116"/>
      <c r="P188" s="116"/>
      <c r="Q188" s="116"/>
      <c r="R188" s="116"/>
      <c r="S188" s="116"/>
      <c r="T188" s="116"/>
      <c r="U188" s="116"/>
      <c r="V188" s="116"/>
      <c r="W188" s="116"/>
    </row>
    <row r="189" ht="15.75" customHeight="1">
      <c r="A189" s="116"/>
      <c r="B189" s="116"/>
      <c r="C189" s="117"/>
      <c r="D189" s="116"/>
      <c r="E189" s="116"/>
      <c r="F189" s="116"/>
      <c r="G189" s="116"/>
      <c r="H189" s="116"/>
      <c r="I189" s="116"/>
      <c r="J189" s="116"/>
      <c r="K189" s="116"/>
      <c r="L189" s="116"/>
      <c r="M189" s="116"/>
      <c r="N189" s="116"/>
      <c r="O189" s="116"/>
      <c r="P189" s="116"/>
      <c r="Q189" s="116"/>
      <c r="R189" s="116"/>
      <c r="S189" s="116"/>
      <c r="T189" s="116"/>
      <c r="U189" s="116"/>
      <c r="V189" s="116"/>
      <c r="W189" s="116"/>
    </row>
    <row r="190" ht="15.75" customHeight="1">
      <c r="A190" s="116"/>
      <c r="B190" s="116"/>
      <c r="C190" s="117"/>
      <c r="D190" s="116"/>
      <c r="E190" s="116"/>
      <c r="F190" s="116"/>
      <c r="G190" s="116"/>
      <c r="H190" s="116"/>
      <c r="I190" s="116"/>
      <c r="J190" s="116"/>
      <c r="K190" s="116"/>
      <c r="L190" s="116"/>
      <c r="M190" s="116"/>
      <c r="N190" s="116"/>
      <c r="O190" s="116"/>
      <c r="P190" s="116"/>
      <c r="Q190" s="116"/>
      <c r="R190" s="116"/>
      <c r="S190" s="116"/>
      <c r="T190" s="116"/>
      <c r="U190" s="116"/>
      <c r="V190" s="116"/>
      <c r="W190" s="116"/>
    </row>
    <row r="191" ht="15.75" customHeight="1">
      <c r="A191" s="116"/>
      <c r="B191" s="116"/>
      <c r="C191" s="117"/>
      <c r="D191" s="116"/>
      <c r="E191" s="116"/>
      <c r="F191" s="116"/>
      <c r="G191" s="116"/>
      <c r="H191" s="116"/>
      <c r="I191" s="116"/>
      <c r="J191" s="116"/>
      <c r="K191" s="116"/>
      <c r="L191" s="116"/>
      <c r="M191" s="116"/>
      <c r="N191" s="116"/>
      <c r="O191" s="116"/>
      <c r="P191" s="116"/>
      <c r="Q191" s="116"/>
      <c r="R191" s="116"/>
      <c r="S191" s="116"/>
      <c r="T191" s="116"/>
      <c r="U191" s="116"/>
      <c r="V191" s="116"/>
      <c r="W191" s="116"/>
    </row>
    <row r="192" ht="15.75" customHeight="1">
      <c r="A192" s="116"/>
      <c r="B192" s="116"/>
      <c r="C192" s="117"/>
      <c r="D192" s="116"/>
      <c r="E192" s="116"/>
      <c r="F192" s="116"/>
      <c r="G192" s="116"/>
      <c r="H192" s="116"/>
      <c r="I192" s="116"/>
      <c r="J192" s="116"/>
      <c r="K192" s="116"/>
      <c r="L192" s="116"/>
      <c r="M192" s="116"/>
      <c r="N192" s="116"/>
      <c r="O192" s="116"/>
      <c r="P192" s="116"/>
      <c r="Q192" s="116"/>
      <c r="R192" s="116"/>
      <c r="S192" s="116"/>
      <c r="T192" s="116"/>
      <c r="U192" s="116"/>
      <c r="V192" s="116"/>
      <c r="W192" s="116"/>
    </row>
    <row r="193" ht="15.75" customHeight="1">
      <c r="A193" s="116"/>
      <c r="B193" s="116"/>
      <c r="C193" s="117"/>
      <c r="D193" s="116"/>
      <c r="E193" s="116"/>
      <c r="F193" s="116"/>
      <c r="G193" s="116"/>
      <c r="H193" s="116"/>
      <c r="I193" s="116"/>
      <c r="J193" s="116"/>
      <c r="K193" s="116"/>
      <c r="L193" s="116"/>
      <c r="M193" s="116"/>
      <c r="N193" s="116"/>
      <c r="O193" s="116"/>
      <c r="P193" s="116"/>
      <c r="Q193" s="116"/>
      <c r="R193" s="116"/>
      <c r="S193" s="116"/>
      <c r="T193" s="116"/>
      <c r="U193" s="116"/>
      <c r="V193" s="116"/>
      <c r="W193" s="116"/>
    </row>
    <row r="194" ht="15.75" customHeight="1">
      <c r="A194" s="116"/>
      <c r="B194" s="116"/>
      <c r="C194" s="117"/>
      <c r="D194" s="116"/>
      <c r="E194" s="116"/>
      <c r="F194" s="116"/>
      <c r="G194" s="116"/>
      <c r="H194" s="116"/>
      <c r="I194" s="116"/>
      <c r="J194" s="116"/>
      <c r="K194" s="116"/>
      <c r="L194" s="116"/>
      <c r="M194" s="116"/>
      <c r="N194" s="116"/>
      <c r="O194" s="116"/>
      <c r="P194" s="116"/>
      <c r="Q194" s="116"/>
      <c r="R194" s="116"/>
      <c r="S194" s="116"/>
      <c r="T194" s="116"/>
      <c r="U194" s="116"/>
      <c r="V194" s="116"/>
      <c r="W194" s="116"/>
    </row>
    <row r="195" ht="15.75" customHeight="1">
      <c r="A195" s="116"/>
      <c r="B195" s="116"/>
      <c r="C195" s="117"/>
      <c r="D195" s="116"/>
      <c r="E195" s="116"/>
      <c r="F195" s="116"/>
      <c r="G195" s="116"/>
      <c r="H195" s="116"/>
      <c r="I195" s="116"/>
      <c r="J195" s="116"/>
      <c r="K195" s="116"/>
      <c r="L195" s="116"/>
      <c r="M195" s="116"/>
      <c r="N195" s="116"/>
      <c r="O195" s="116"/>
      <c r="P195" s="116"/>
      <c r="Q195" s="116"/>
      <c r="R195" s="116"/>
      <c r="S195" s="116"/>
      <c r="T195" s="116"/>
      <c r="U195" s="116"/>
      <c r="V195" s="116"/>
      <c r="W195" s="116"/>
    </row>
    <row r="196" ht="15.75" customHeight="1">
      <c r="A196" s="116"/>
      <c r="B196" s="116"/>
      <c r="C196" s="117"/>
      <c r="D196" s="116"/>
      <c r="E196" s="116"/>
      <c r="F196" s="116"/>
      <c r="G196" s="116"/>
      <c r="H196" s="116"/>
      <c r="I196" s="116"/>
      <c r="J196" s="116"/>
      <c r="K196" s="116"/>
      <c r="L196" s="116"/>
      <c r="M196" s="116"/>
      <c r="N196" s="116"/>
      <c r="O196" s="116"/>
      <c r="P196" s="116"/>
      <c r="Q196" s="116"/>
      <c r="R196" s="116"/>
      <c r="S196" s="116"/>
      <c r="T196" s="116"/>
      <c r="U196" s="116"/>
      <c r="V196" s="116"/>
      <c r="W196" s="116"/>
    </row>
    <row r="197" ht="15.75" customHeight="1">
      <c r="A197" s="116"/>
      <c r="B197" s="116"/>
      <c r="C197" s="117"/>
      <c r="D197" s="116"/>
      <c r="E197" s="116"/>
      <c r="F197" s="116"/>
      <c r="G197" s="116"/>
      <c r="H197" s="116"/>
      <c r="I197" s="116"/>
      <c r="J197" s="116"/>
      <c r="K197" s="116"/>
      <c r="L197" s="116"/>
      <c r="M197" s="116"/>
      <c r="N197" s="116"/>
      <c r="O197" s="116"/>
      <c r="P197" s="116"/>
      <c r="Q197" s="116"/>
      <c r="R197" s="116"/>
      <c r="S197" s="116"/>
      <c r="T197" s="116"/>
      <c r="U197" s="116"/>
      <c r="V197" s="116"/>
      <c r="W197" s="116"/>
    </row>
    <row r="198" ht="15.75" customHeight="1">
      <c r="A198" s="116"/>
      <c r="B198" s="116"/>
      <c r="C198" s="117"/>
      <c r="D198" s="116"/>
      <c r="E198" s="116"/>
      <c r="F198" s="116"/>
      <c r="G198" s="116"/>
      <c r="H198" s="116"/>
      <c r="I198" s="116"/>
      <c r="J198" s="116"/>
      <c r="K198" s="116"/>
      <c r="L198" s="116"/>
      <c r="M198" s="116"/>
      <c r="N198" s="116"/>
      <c r="O198" s="116"/>
      <c r="P198" s="116"/>
      <c r="Q198" s="116"/>
      <c r="R198" s="116"/>
      <c r="S198" s="116"/>
      <c r="T198" s="116"/>
      <c r="U198" s="116"/>
      <c r="V198" s="116"/>
      <c r="W198" s="116"/>
    </row>
    <row r="199" ht="15.75" customHeight="1">
      <c r="A199" s="116"/>
      <c r="B199" s="116"/>
      <c r="C199" s="117"/>
      <c r="D199" s="116"/>
      <c r="E199" s="116"/>
      <c r="F199" s="116"/>
      <c r="G199" s="116"/>
      <c r="H199" s="116"/>
      <c r="I199" s="116"/>
      <c r="J199" s="116"/>
      <c r="K199" s="116"/>
      <c r="L199" s="116"/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6"/>
    </row>
    <row r="200" ht="15.75" customHeight="1">
      <c r="A200" s="116"/>
      <c r="B200" s="116"/>
      <c r="C200" s="117"/>
      <c r="D200" s="116"/>
      <c r="E200" s="116"/>
      <c r="F200" s="116"/>
      <c r="G200" s="116"/>
      <c r="H200" s="116"/>
      <c r="I200" s="116"/>
      <c r="J200" s="116"/>
      <c r="K200" s="116"/>
      <c r="L200" s="116"/>
      <c r="M200" s="116"/>
      <c r="N200" s="116"/>
      <c r="O200" s="116"/>
      <c r="P200" s="116"/>
      <c r="Q200" s="116"/>
      <c r="R200" s="116"/>
      <c r="S200" s="116"/>
      <c r="T200" s="116"/>
      <c r="U200" s="116"/>
      <c r="V200" s="116"/>
      <c r="W200" s="116"/>
    </row>
    <row r="201" ht="15.75" customHeight="1">
      <c r="A201" s="116"/>
      <c r="B201" s="116"/>
      <c r="C201" s="117"/>
      <c r="D201" s="116"/>
      <c r="E201" s="116"/>
      <c r="F201" s="116"/>
      <c r="G201" s="116"/>
      <c r="H201" s="116"/>
      <c r="I201" s="116"/>
      <c r="J201" s="116"/>
      <c r="K201" s="116"/>
      <c r="L201" s="116"/>
      <c r="M201" s="116"/>
      <c r="N201" s="116"/>
      <c r="O201" s="116"/>
      <c r="P201" s="116"/>
      <c r="Q201" s="116"/>
      <c r="R201" s="116"/>
      <c r="S201" s="116"/>
      <c r="T201" s="116"/>
      <c r="U201" s="116"/>
      <c r="V201" s="116"/>
      <c r="W201" s="116"/>
    </row>
    <row r="202" ht="15.75" customHeight="1">
      <c r="A202" s="116"/>
      <c r="B202" s="116"/>
      <c r="C202" s="117"/>
      <c r="D202" s="116"/>
      <c r="E202" s="116"/>
      <c r="F202" s="116"/>
      <c r="G202" s="116"/>
      <c r="H202" s="116"/>
      <c r="I202" s="116"/>
      <c r="J202" s="116"/>
      <c r="K202" s="116"/>
      <c r="L202" s="116"/>
      <c r="M202" s="116"/>
      <c r="N202" s="116"/>
      <c r="O202" s="116"/>
      <c r="P202" s="116"/>
      <c r="Q202" s="116"/>
      <c r="R202" s="116"/>
      <c r="S202" s="116"/>
      <c r="T202" s="116"/>
      <c r="U202" s="116"/>
      <c r="V202" s="116"/>
      <c r="W202" s="116"/>
    </row>
    <row r="203" ht="15.75" customHeight="1">
      <c r="A203" s="116"/>
      <c r="B203" s="116"/>
      <c r="C203" s="117"/>
      <c r="D203" s="116"/>
      <c r="E203" s="116"/>
      <c r="F203" s="116"/>
      <c r="G203" s="116"/>
      <c r="H203" s="116"/>
      <c r="I203" s="116"/>
      <c r="J203" s="116"/>
      <c r="K203" s="116"/>
      <c r="L203" s="116"/>
      <c r="M203" s="116"/>
      <c r="N203" s="116"/>
      <c r="O203" s="116"/>
      <c r="P203" s="116"/>
      <c r="Q203" s="116"/>
      <c r="R203" s="116"/>
      <c r="S203" s="116"/>
      <c r="T203" s="116"/>
      <c r="U203" s="116"/>
      <c r="V203" s="116"/>
      <c r="W203" s="116"/>
    </row>
    <row r="204" ht="15.75" customHeight="1">
      <c r="A204" s="116"/>
      <c r="B204" s="116"/>
      <c r="C204" s="117"/>
      <c r="D204" s="116"/>
      <c r="E204" s="116"/>
      <c r="F204" s="116"/>
      <c r="G204" s="116"/>
      <c r="H204" s="116"/>
      <c r="I204" s="116"/>
      <c r="J204" s="116"/>
      <c r="K204" s="116"/>
      <c r="L204" s="116"/>
      <c r="M204" s="116"/>
      <c r="N204" s="116"/>
      <c r="O204" s="116"/>
      <c r="P204" s="116"/>
      <c r="Q204" s="116"/>
      <c r="R204" s="116"/>
      <c r="S204" s="116"/>
      <c r="T204" s="116"/>
      <c r="U204" s="116"/>
      <c r="V204" s="116"/>
      <c r="W204" s="116"/>
    </row>
    <row r="205" ht="15.75" customHeight="1">
      <c r="A205" s="116"/>
      <c r="B205" s="116"/>
      <c r="C205" s="117"/>
      <c r="D205" s="116"/>
      <c r="E205" s="116"/>
      <c r="F205" s="116"/>
      <c r="G205" s="116"/>
      <c r="H205" s="116"/>
      <c r="I205" s="116"/>
      <c r="J205" s="116"/>
      <c r="K205" s="116"/>
      <c r="L205" s="116"/>
      <c r="M205" s="116"/>
      <c r="N205" s="116"/>
      <c r="O205" s="116"/>
      <c r="P205" s="116"/>
      <c r="Q205" s="116"/>
      <c r="R205" s="116"/>
      <c r="S205" s="116"/>
      <c r="T205" s="116"/>
      <c r="U205" s="116"/>
      <c r="V205" s="116"/>
      <c r="W205" s="116"/>
    </row>
    <row r="206" ht="15.75" customHeight="1">
      <c r="A206" s="116"/>
      <c r="B206" s="116"/>
      <c r="C206" s="117"/>
      <c r="D206" s="116"/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  <c r="O206" s="116"/>
      <c r="P206" s="116"/>
      <c r="Q206" s="116"/>
      <c r="R206" s="116"/>
      <c r="S206" s="116"/>
      <c r="T206" s="116"/>
      <c r="U206" s="116"/>
      <c r="V206" s="116"/>
      <c r="W206" s="116"/>
    </row>
    <row r="207" ht="15.75" customHeight="1">
      <c r="A207" s="116"/>
      <c r="B207" s="116"/>
      <c r="C207" s="117"/>
      <c r="D207" s="116"/>
      <c r="E207" s="116"/>
      <c r="F207" s="116"/>
      <c r="G207" s="116"/>
      <c r="H207" s="116"/>
      <c r="I207" s="116"/>
      <c r="J207" s="116"/>
      <c r="K207" s="116"/>
      <c r="L207" s="116"/>
      <c r="M207" s="116"/>
      <c r="N207" s="116"/>
      <c r="O207" s="116"/>
      <c r="P207" s="116"/>
      <c r="Q207" s="116"/>
      <c r="R207" s="116"/>
      <c r="S207" s="116"/>
      <c r="T207" s="116"/>
      <c r="U207" s="116"/>
      <c r="V207" s="116"/>
      <c r="W207" s="116"/>
    </row>
    <row r="208" ht="15.75" customHeight="1">
      <c r="A208" s="116"/>
      <c r="B208" s="116"/>
      <c r="C208" s="117"/>
      <c r="D208" s="116"/>
      <c r="E208" s="116"/>
      <c r="F208" s="116"/>
      <c r="G208" s="116"/>
      <c r="H208" s="116"/>
      <c r="I208" s="116"/>
      <c r="J208" s="116"/>
      <c r="K208" s="116"/>
      <c r="L208" s="116"/>
      <c r="M208" s="116"/>
      <c r="N208" s="116"/>
      <c r="O208" s="116"/>
      <c r="P208" s="116"/>
      <c r="Q208" s="116"/>
      <c r="R208" s="116"/>
      <c r="S208" s="116"/>
      <c r="T208" s="116"/>
      <c r="U208" s="116"/>
      <c r="V208" s="116"/>
      <c r="W208" s="116"/>
    </row>
    <row r="209" ht="15.75" customHeight="1">
      <c r="A209" s="116"/>
      <c r="B209" s="116"/>
      <c r="C209" s="117"/>
      <c r="D209" s="116"/>
      <c r="E209" s="116"/>
      <c r="F209" s="116"/>
      <c r="G209" s="116"/>
      <c r="H209" s="116"/>
      <c r="I209" s="116"/>
      <c r="J209" s="116"/>
      <c r="K209" s="116"/>
      <c r="L209" s="116"/>
      <c r="M209" s="116"/>
      <c r="N209" s="116"/>
      <c r="O209" s="116"/>
      <c r="P209" s="116"/>
      <c r="Q209" s="116"/>
      <c r="R209" s="116"/>
      <c r="S209" s="116"/>
      <c r="T209" s="116"/>
      <c r="U209" s="116"/>
      <c r="V209" s="116"/>
      <c r="W209" s="116"/>
    </row>
    <row r="210" ht="15.75" customHeight="1">
      <c r="A210" s="116"/>
      <c r="B210" s="116"/>
      <c r="C210" s="117"/>
      <c r="D210" s="116"/>
      <c r="E210" s="116"/>
      <c r="F210" s="116"/>
      <c r="G210" s="116"/>
      <c r="H210" s="116"/>
      <c r="I210" s="116"/>
      <c r="J210" s="116"/>
      <c r="K210" s="116"/>
      <c r="L210" s="116"/>
      <c r="M210" s="116"/>
      <c r="N210" s="116"/>
      <c r="O210" s="116"/>
      <c r="P210" s="116"/>
      <c r="Q210" s="116"/>
      <c r="R210" s="116"/>
      <c r="S210" s="116"/>
      <c r="T210" s="116"/>
      <c r="U210" s="116"/>
      <c r="V210" s="116"/>
      <c r="W210" s="116"/>
    </row>
    <row r="211" ht="15.75" customHeight="1">
      <c r="A211" s="116"/>
      <c r="B211" s="116"/>
      <c r="C211" s="117"/>
      <c r="D211" s="116"/>
      <c r="E211" s="116"/>
      <c r="F211" s="116"/>
      <c r="G211" s="116"/>
      <c r="H211" s="116"/>
      <c r="I211" s="116"/>
      <c r="J211" s="116"/>
      <c r="K211" s="116"/>
      <c r="L211" s="116"/>
      <c r="M211" s="116"/>
      <c r="N211" s="116"/>
      <c r="O211" s="116"/>
      <c r="P211" s="116"/>
      <c r="Q211" s="116"/>
      <c r="R211" s="116"/>
      <c r="S211" s="116"/>
      <c r="T211" s="116"/>
      <c r="U211" s="116"/>
      <c r="V211" s="116"/>
      <c r="W211" s="116"/>
    </row>
    <row r="212" ht="15.75" customHeight="1">
      <c r="A212" s="116"/>
      <c r="B212" s="116"/>
      <c r="C212" s="117"/>
      <c r="D212" s="116"/>
      <c r="E212" s="116"/>
      <c r="F212" s="116"/>
      <c r="G212" s="116"/>
      <c r="H212" s="116"/>
      <c r="I212" s="116"/>
      <c r="J212" s="116"/>
      <c r="K212" s="116"/>
      <c r="L212" s="116"/>
      <c r="M212" s="116"/>
      <c r="N212" s="116"/>
      <c r="O212" s="116"/>
      <c r="P212" s="116"/>
      <c r="Q212" s="116"/>
      <c r="R212" s="116"/>
      <c r="S212" s="116"/>
      <c r="T212" s="116"/>
      <c r="U212" s="116"/>
      <c r="V212" s="116"/>
      <c r="W212" s="116"/>
    </row>
    <row r="213" ht="15.75" customHeight="1">
      <c r="A213" s="116"/>
      <c r="B213" s="116"/>
      <c r="C213" s="117"/>
      <c r="D213" s="116"/>
      <c r="E213" s="116"/>
      <c r="F213" s="116"/>
      <c r="G213" s="116"/>
      <c r="H213" s="116"/>
      <c r="I213" s="116"/>
      <c r="J213" s="116"/>
      <c r="K213" s="116"/>
      <c r="L213" s="116"/>
      <c r="M213" s="116"/>
      <c r="N213" s="116"/>
      <c r="O213" s="116"/>
      <c r="P213" s="116"/>
      <c r="Q213" s="116"/>
      <c r="R213" s="116"/>
      <c r="S213" s="116"/>
      <c r="T213" s="116"/>
      <c r="U213" s="116"/>
      <c r="V213" s="116"/>
      <c r="W213" s="116"/>
    </row>
    <row r="214" ht="15.75" customHeight="1">
      <c r="A214" s="116"/>
      <c r="B214" s="116"/>
      <c r="C214" s="117"/>
      <c r="D214" s="116"/>
      <c r="E214" s="116"/>
      <c r="F214" s="116"/>
      <c r="G214" s="116"/>
      <c r="H214" s="116"/>
      <c r="I214" s="116"/>
      <c r="J214" s="116"/>
      <c r="K214" s="116"/>
      <c r="L214" s="116"/>
      <c r="M214" s="116"/>
      <c r="N214" s="116"/>
      <c r="O214" s="116"/>
      <c r="P214" s="116"/>
      <c r="Q214" s="116"/>
      <c r="R214" s="116"/>
      <c r="S214" s="116"/>
      <c r="T214" s="116"/>
      <c r="U214" s="116"/>
      <c r="V214" s="116"/>
      <c r="W214" s="116"/>
    </row>
    <row r="215" ht="15.75" customHeight="1">
      <c r="A215" s="116"/>
      <c r="B215" s="116"/>
      <c r="C215" s="117"/>
      <c r="D215" s="116"/>
      <c r="E215" s="116"/>
      <c r="F215" s="116"/>
      <c r="G215" s="116"/>
      <c r="H215" s="116"/>
      <c r="I215" s="116"/>
      <c r="J215" s="116"/>
      <c r="K215" s="116"/>
      <c r="L215" s="116"/>
      <c r="M215" s="116"/>
      <c r="N215" s="116"/>
      <c r="O215" s="116"/>
      <c r="P215" s="116"/>
      <c r="Q215" s="116"/>
      <c r="R215" s="116"/>
      <c r="S215" s="116"/>
      <c r="T215" s="116"/>
      <c r="U215" s="116"/>
      <c r="V215" s="116"/>
      <c r="W215" s="116"/>
    </row>
    <row r="216" ht="15.75" customHeight="1">
      <c r="A216" s="116"/>
      <c r="B216" s="116"/>
      <c r="C216" s="117"/>
      <c r="D216" s="116"/>
      <c r="E216" s="116"/>
      <c r="F216" s="116"/>
      <c r="G216" s="116"/>
      <c r="H216" s="116"/>
      <c r="I216" s="116"/>
      <c r="J216" s="116"/>
      <c r="K216" s="116"/>
      <c r="L216" s="116"/>
      <c r="M216" s="116"/>
      <c r="N216" s="116"/>
      <c r="O216" s="116"/>
      <c r="P216" s="116"/>
      <c r="Q216" s="116"/>
      <c r="R216" s="116"/>
      <c r="S216" s="116"/>
      <c r="T216" s="116"/>
      <c r="U216" s="116"/>
      <c r="V216" s="116"/>
      <c r="W216" s="116"/>
    </row>
    <row r="217" ht="15.75" customHeight="1">
      <c r="A217" s="116"/>
      <c r="B217" s="116"/>
      <c r="C217" s="117"/>
      <c r="D217" s="116"/>
      <c r="E217" s="116"/>
      <c r="F217" s="116"/>
      <c r="G217" s="116"/>
      <c r="H217" s="116"/>
      <c r="I217" s="116"/>
      <c r="J217" s="116"/>
      <c r="K217" s="116"/>
      <c r="L217" s="116"/>
      <c r="M217" s="116"/>
      <c r="N217" s="116"/>
      <c r="O217" s="116"/>
      <c r="P217" s="116"/>
      <c r="Q217" s="116"/>
      <c r="R217" s="116"/>
      <c r="S217" s="116"/>
      <c r="T217" s="116"/>
      <c r="U217" s="116"/>
      <c r="V217" s="116"/>
      <c r="W217" s="116"/>
    </row>
    <row r="218" ht="15.75" customHeight="1">
      <c r="A218" s="116"/>
      <c r="B218" s="116"/>
      <c r="C218" s="117"/>
      <c r="D218" s="116"/>
      <c r="E218" s="116"/>
      <c r="F218" s="116"/>
      <c r="G218" s="116"/>
      <c r="H218" s="116"/>
      <c r="I218" s="116"/>
      <c r="J218" s="116"/>
      <c r="K218" s="116"/>
      <c r="L218" s="116"/>
      <c r="M218" s="116"/>
      <c r="N218" s="116"/>
      <c r="O218" s="116"/>
      <c r="P218" s="116"/>
      <c r="Q218" s="116"/>
      <c r="R218" s="116"/>
      <c r="S218" s="116"/>
      <c r="T218" s="116"/>
      <c r="U218" s="116"/>
      <c r="V218" s="116"/>
      <c r="W218" s="116"/>
    </row>
    <row r="219" ht="15.75" customHeight="1">
      <c r="A219" s="116"/>
      <c r="B219" s="116"/>
      <c r="C219" s="117"/>
      <c r="D219" s="116"/>
      <c r="E219" s="116"/>
      <c r="F219" s="116"/>
      <c r="G219" s="116"/>
      <c r="H219" s="116"/>
      <c r="I219" s="116"/>
      <c r="J219" s="116"/>
      <c r="K219" s="116"/>
      <c r="L219" s="116"/>
      <c r="M219" s="116"/>
      <c r="N219" s="116"/>
      <c r="O219" s="116"/>
      <c r="P219" s="116"/>
      <c r="Q219" s="116"/>
      <c r="R219" s="116"/>
      <c r="S219" s="116"/>
      <c r="T219" s="116"/>
      <c r="U219" s="116"/>
      <c r="V219" s="116"/>
      <c r="W219" s="116"/>
    </row>
    <row r="220" ht="15.75" customHeight="1">
      <c r="A220" s="116"/>
      <c r="B220" s="116"/>
      <c r="C220" s="117"/>
      <c r="D220" s="116"/>
      <c r="E220" s="116"/>
      <c r="F220" s="116"/>
      <c r="G220" s="116"/>
      <c r="H220" s="116"/>
      <c r="I220" s="116"/>
      <c r="J220" s="116"/>
      <c r="K220" s="116"/>
      <c r="L220" s="116"/>
      <c r="M220" s="116"/>
      <c r="N220" s="116"/>
      <c r="O220" s="116"/>
      <c r="P220" s="116"/>
      <c r="Q220" s="116"/>
      <c r="R220" s="116"/>
      <c r="S220" s="116"/>
      <c r="T220" s="116"/>
      <c r="U220" s="116"/>
      <c r="V220" s="116"/>
      <c r="W220" s="116"/>
    </row>
    <row r="221" ht="15.75" customHeight="1">
      <c r="A221" s="116"/>
      <c r="B221" s="116"/>
      <c r="C221" s="117"/>
      <c r="D221" s="116"/>
      <c r="E221" s="116"/>
      <c r="F221" s="116"/>
      <c r="G221" s="116"/>
      <c r="H221" s="116"/>
      <c r="I221" s="116"/>
      <c r="J221" s="116"/>
      <c r="K221" s="116"/>
      <c r="L221" s="116"/>
      <c r="M221" s="116"/>
      <c r="N221" s="116"/>
      <c r="O221" s="116"/>
      <c r="P221" s="116"/>
      <c r="Q221" s="116"/>
      <c r="R221" s="116"/>
      <c r="S221" s="116"/>
      <c r="T221" s="116"/>
      <c r="U221" s="116"/>
      <c r="V221" s="116"/>
      <c r="W221" s="116"/>
    </row>
    <row r="222" ht="15.75" customHeight="1">
      <c r="A222" s="116"/>
      <c r="B222" s="116"/>
      <c r="C222" s="117"/>
      <c r="D222" s="116"/>
      <c r="E222" s="116"/>
      <c r="F222" s="116"/>
      <c r="G222" s="116"/>
      <c r="H222" s="116"/>
      <c r="I222" s="116"/>
      <c r="J222" s="116"/>
      <c r="K222" s="116"/>
      <c r="L222" s="116"/>
      <c r="M222" s="116"/>
      <c r="N222" s="116"/>
      <c r="O222" s="116"/>
      <c r="P222" s="116"/>
      <c r="Q222" s="116"/>
      <c r="R222" s="116"/>
      <c r="S222" s="116"/>
      <c r="T222" s="116"/>
      <c r="U222" s="116"/>
      <c r="V222" s="116"/>
      <c r="W222" s="116"/>
    </row>
    <row r="223" ht="15.75" customHeight="1">
      <c r="A223" s="116"/>
      <c r="B223" s="116"/>
      <c r="C223" s="117"/>
      <c r="D223" s="116"/>
      <c r="E223" s="116"/>
      <c r="F223" s="116"/>
      <c r="G223" s="116"/>
      <c r="H223" s="116"/>
      <c r="I223" s="116"/>
      <c r="J223" s="116"/>
      <c r="K223" s="116"/>
      <c r="L223" s="116"/>
      <c r="M223" s="116"/>
      <c r="N223" s="116"/>
      <c r="O223" s="116"/>
      <c r="P223" s="116"/>
      <c r="Q223" s="116"/>
      <c r="R223" s="116"/>
      <c r="S223" s="116"/>
      <c r="T223" s="116"/>
      <c r="U223" s="116"/>
      <c r="V223" s="116"/>
      <c r="W223" s="116"/>
    </row>
    <row r="224" ht="15.75" customHeight="1">
      <c r="A224" s="116"/>
      <c r="B224" s="116"/>
      <c r="C224" s="117"/>
      <c r="D224" s="116"/>
      <c r="E224" s="116"/>
      <c r="F224" s="116"/>
      <c r="G224" s="116"/>
      <c r="H224" s="116"/>
      <c r="I224" s="116"/>
      <c r="J224" s="116"/>
      <c r="K224" s="116"/>
      <c r="L224" s="116"/>
      <c r="M224" s="116"/>
      <c r="N224" s="116"/>
      <c r="O224" s="116"/>
      <c r="P224" s="116"/>
      <c r="Q224" s="116"/>
      <c r="R224" s="116"/>
      <c r="S224" s="116"/>
      <c r="T224" s="116"/>
      <c r="U224" s="116"/>
      <c r="V224" s="116"/>
      <c r="W224" s="116"/>
    </row>
    <row r="225" ht="15.75" customHeight="1">
      <c r="A225" s="116"/>
      <c r="B225" s="116"/>
      <c r="C225" s="117"/>
      <c r="D225" s="116"/>
      <c r="E225" s="116"/>
      <c r="F225" s="116"/>
      <c r="G225" s="116"/>
      <c r="H225" s="116"/>
      <c r="I225" s="116"/>
      <c r="J225" s="116"/>
      <c r="K225" s="116"/>
      <c r="L225" s="116"/>
      <c r="M225" s="116"/>
      <c r="N225" s="116"/>
      <c r="O225" s="116"/>
      <c r="P225" s="116"/>
      <c r="Q225" s="116"/>
      <c r="R225" s="116"/>
      <c r="S225" s="116"/>
      <c r="T225" s="116"/>
      <c r="U225" s="116"/>
      <c r="V225" s="116"/>
      <c r="W225" s="116"/>
    </row>
    <row r="226" ht="15.75" customHeight="1">
      <c r="A226" s="116"/>
      <c r="B226" s="116"/>
      <c r="C226" s="117"/>
      <c r="D226" s="116"/>
      <c r="E226" s="116"/>
      <c r="F226" s="116"/>
      <c r="G226" s="116"/>
      <c r="H226" s="116"/>
      <c r="I226" s="116"/>
      <c r="J226" s="116"/>
      <c r="K226" s="116"/>
      <c r="L226" s="116"/>
      <c r="M226" s="116"/>
      <c r="N226" s="116"/>
      <c r="O226" s="116"/>
      <c r="P226" s="116"/>
      <c r="Q226" s="116"/>
      <c r="R226" s="116"/>
      <c r="S226" s="116"/>
      <c r="T226" s="116"/>
      <c r="U226" s="116"/>
      <c r="V226" s="116"/>
      <c r="W226" s="116"/>
    </row>
    <row r="227" ht="15.75" customHeight="1">
      <c r="A227" s="116"/>
      <c r="B227" s="116"/>
      <c r="C227" s="117"/>
      <c r="D227" s="116"/>
      <c r="E227" s="116"/>
      <c r="F227" s="116"/>
      <c r="G227" s="116"/>
      <c r="H227" s="116"/>
      <c r="I227" s="116"/>
      <c r="J227" s="116"/>
      <c r="K227" s="116"/>
      <c r="L227" s="116"/>
      <c r="M227" s="116"/>
      <c r="N227" s="116"/>
      <c r="O227" s="116"/>
      <c r="P227" s="116"/>
      <c r="Q227" s="116"/>
      <c r="R227" s="116"/>
      <c r="S227" s="116"/>
      <c r="T227" s="116"/>
      <c r="U227" s="116"/>
      <c r="V227" s="116"/>
      <c r="W227" s="116"/>
    </row>
    <row r="228" ht="15.75" customHeight="1">
      <c r="A228" s="116"/>
      <c r="B228" s="116"/>
      <c r="C228" s="117"/>
      <c r="D228" s="116"/>
      <c r="E228" s="116"/>
      <c r="F228" s="116"/>
      <c r="G228" s="116"/>
      <c r="H228" s="116"/>
      <c r="I228" s="116"/>
      <c r="J228" s="116"/>
      <c r="K228" s="116"/>
      <c r="L228" s="116"/>
      <c r="M228" s="116"/>
      <c r="N228" s="116"/>
      <c r="O228" s="116"/>
      <c r="P228" s="116"/>
      <c r="Q228" s="116"/>
      <c r="R228" s="116"/>
      <c r="S228" s="116"/>
      <c r="T228" s="116"/>
      <c r="U228" s="116"/>
      <c r="V228" s="116"/>
      <c r="W228" s="116"/>
    </row>
    <row r="229" ht="15.75" customHeight="1">
      <c r="A229" s="116"/>
      <c r="B229" s="116"/>
      <c r="C229" s="117"/>
      <c r="D229" s="116"/>
      <c r="E229" s="116"/>
      <c r="F229" s="116"/>
      <c r="G229" s="116"/>
      <c r="H229" s="116"/>
      <c r="I229" s="116"/>
      <c r="J229" s="116"/>
      <c r="K229" s="116"/>
      <c r="L229" s="116"/>
      <c r="M229" s="116"/>
      <c r="N229" s="116"/>
      <c r="O229" s="116"/>
      <c r="P229" s="116"/>
      <c r="Q229" s="116"/>
      <c r="R229" s="116"/>
      <c r="S229" s="116"/>
      <c r="T229" s="116"/>
      <c r="U229" s="116"/>
      <c r="V229" s="116"/>
      <c r="W229" s="116"/>
    </row>
    <row r="230" ht="15.75" customHeight="1">
      <c r="A230" s="116"/>
      <c r="B230" s="116"/>
      <c r="C230" s="117"/>
      <c r="D230" s="116"/>
      <c r="E230" s="116"/>
      <c r="F230" s="116"/>
      <c r="G230" s="116"/>
      <c r="H230" s="116"/>
      <c r="I230" s="116"/>
      <c r="J230" s="116"/>
      <c r="K230" s="116"/>
      <c r="L230" s="116"/>
      <c r="M230" s="116"/>
      <c r="N230" s="116"/>
      <c r="O230" s="116"/>
      <c r="P230" s="116"/>
      <c r="Q230" s="116"/>
      <c r="R230" s="116"/>
      <c r="S230" s="116"/>
      <c r="T230" s="116"/>
      <c r="U230" s="116"/>
      <c r="V230" s="116"/>
      <c r="W230" s="116"/>
    </row>
    <row r="231" ht="15.75" customHeight="1">
      <c r="A231" s="116"/>
      <c r="B231" s="116"/>
      <c r="C231" s="117"/>
      <c r="D231" s="116"/>
      <c r="E231" s="116"/>
      <c r="F231" s="116"/>
      <c r="G231" s="116"/>
      <c r="H231" s="116"/>
      <c r="I231" s="116"/>
      <c r="J231" s="116"/>
      <c r="K231" s="116"/>
      <c r="L231" s="116"/>
      <c r="M231" s="116"/>
      <c r="N231" s="116"/>
      <c r="O231" s="116"/>
      <c r="P231" s="116"/>
      <c r="Q231" s="116"/>
      <c r="R231" s="116"/>
      <c r="S231" s="116"/>
      <c r="T231" s="116"/>
      <c r="U231" s="116"/>
      <c r="V231" s="116"/>
      <c r="W231" s="116"/>
    </row>
    <row r="232" ht="15.75" customHeight="1">
      <c r="A232" s="116"/>
      <c r="B232" s="116"/>
      <c r="C232" s="117"/>
      <c r="D232" s="116"/>
      <c r="E232" s="116"/>
      <c r="F232" s="116"/>
      <c r="G232" s="116"/>
      <c r="H232" s="116"/>
      <c r="I232" s="116"/>
      <c r="J232" s="116"/>
      <c r="K232" s="116"/>
      <c r="L232" s="116"/>
      <c r="M232" s="116"/>
      <c r="N232" s="116"/>
      <c r="O232" s="116"/>
      <c r="P232" s="116"/>
      <c r="Q232" s="116"/>
      <c r="R232" s="116"/>
      <c r="S232" s="116"/>
      <c r="T232" s="116"/>
      <c r="U232" s="116"/>
      <c r="V232" s="116"/>
      <c r="W232" s="116"/>
    </row>
    <row r="233" ht="15.75" customHeight="1">
      <c r="A233" s="116"/>
      <c r="B233" s="116"/>
      <c r="C233" s="117"/>
      <c r="D233" s="116"/>
      <c r="E233" s="116"/>
      <c r="F233" s="116"/>
      <c r="G233" s="116"/>
      <c r="H233" s="116"/>
      <c r="I233" s="116"/>
      <c r="J233" s="116"/>
      <c r="K233" s="116"/>
      <c r="L233" s="116"/>
      <c r="M233" s="116"/>
      <c r="N233" s="116"/>
      <c r="O233" s="116"/>
      <c r="P233" s="116"/>
      <c r="Q233" s="116"/>
      <c r="R233" s="116"/>
      <c r="S233" s="116"/>
      <c r="T233" s="116"/>
      <c r="U233" s="116"/>
      <c r="V233" s="116"/>
      <c r="W233" s="116"/>
    </row>
    <row r="234" ht="15.75" customHeight="1">
      <c r="A234" s="116"/>
      <c r="B234" s="116"/>
      <c r="C234" s="117"/>
      <c r="D234" s="116"/>
      <c r="E234" s="116"/>
      <c r="F234" s="116"/>
      <c r="G234" s="116"/>
      <c r="H234" s="116"/>
      <c r="I234" s="116"/>
      <c r="J234" s="116"/>
      <c r="K234" s="116"/>
      <c r="L234" s="116"/>
      <c r="M234" s="116"/>
      <c r="N234" s="116"/>
      <c r="O234" s="116"/>
      <c r="P234" s="116"/>
      <c r="Q234" s="116"/>
      <c r="R234" s="116"/>
      <c r="S234" s="116"/>
      <c r="T234" s="116"/>
      <c r="U234" s="116"/>
      <c r="V234" s="116"/>
      <c r="W234" s="116"/>
    </row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">
    <mergeCell ref="J1:J34"/>
  </mergeCells>
  <conditionalFormatting sqref="L2:L34">
    <cfRule type="expression" dxfId="1" priority="1">
      <formula>W2&lt;50</formula>
    </cfRule>
  </conditionalFormatting>
  <conditionalFormatting sqref="M2:V34">
    <cfRule type="cellIs" dxfId="2" priority="2" operator="lessThan">
      <formula>50</formula>
    </cfRule>
  </conditionalFormatting>
  <conditionalFormatting sqref="M2:V34">
    <cfRule type="cellIs" dxfId="3" priority="3" operator="notEqual">
      <formula>100</formula>
    </cfRule>
  </conditionalFormatting>
  <conditionalFormatting sqref="W1:W34">
    <cfRule type="cellIs" dxfId="4" priority="4" operator="lessThan">
      <formula>50</formula>
    </cfRule>
  </conditionalFormatting>
  <conditionalFormatting sqref="W2:W34">
    <cfRule type="cellIs" dxfId="5" priority="5" operator="lessThan">
      <formula>100</formula>
    </cfRule>
  </conditionalFormatting>
  <printOptions/>
  <pageMargins bottom="0.787401575" footer="0.0" header="0.0" left="0.511811024" right="0.511811024" top="0.787401575"/>
  <pageSetup paperSize="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4.86"/>
    <col customWidth="1" min="2" max="2" width="4.71"/>
    <col customWidth="1" min="3" max="3" width="6.14"/>
    <col customWidth="1" min="4" max="4" width="3.14"/>
    <col customWidth="1" min="5" max="6" width="6.14"/>
    <col customWidth="1" min="7" max="7" width="3.71"/>
    <col customWidth="1" min="8" max="8" width="20.29"/>
    <col customWidth="1" hidden="1" min="9" max="9" width="3.14"/>
    <col customWidth="1" min="10" max="28" width="3.0"/>
    <col customWidth="1" min="29" max="29" width="2.71"/>
    <col customWidth="1" min="30" max="30" width="3.0"/>
    <col customWidth="1" min="31" max="31" width="2.86"/>
    <col customWidth="1" min="32" max="42" width="3.0"/>
    <col customWidth="1" min="43" max="43" width="2.71"/>
  </cols>
  <sheetData>
    <row r="1" ht="53.25" customHeight="1">
      <c r="A1" s="11"/>
      <c r="B1" s="12"/>
      <c r="C1" s="12"/>
      <c r="D1" s="12"/>
      <c r="E1" s="12"/>
      <c r="F1" s="12"/>
      <c r="G1" s="12"/>
      <c r="H1" s="12"/>
      <c r="I1" s="14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9"/>
      <c r="AR1" s="20"/>
      <c r="AS1" s="20"/>
      <c r="AT1" s="20"/>
      <c r="AU1" s="20"/>
      <c r="AV1" s="20"/>
      <c r="AW1" s="20"/>
      <c r="AX1" s="20"/>
      <c r="AY1" s="20"/>
      <c r="AZ1" s="20"/>
    </row>
    <row r="2" ht="12.0" customHeight="1">
      <c r="A2" s="23" t="s">
        <v>13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19"/>
      <c r="AR2" s="20"/>
      <c r="AS2" s="20"/>
      <c r="AT2" s="20"/>
      <c r="AU2" s="20"/>
      <c r="AV2" s="20"/>
      <c r="AW2" s="20"/>
      <c r="AX2" s="20"/>
      <c r="AY2" s="20"/>
      <c r="AZ2" s="20"/>
    </row>
    <row r="3" ht="3.75" customHeight="1">
      <c r="A3" s="43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19"/>
      <c r="AR3" s="20"/>
      <c r="AS3" s="20"/>
      <c r="AT3" s="20"/>
      <c r="AU3" s="20"/>
      <c r="AV3" s="20"/>
      <c r="AW3" s="20"/>
      <c r="AX3" s="20"/>
      <c r="AY3" s="20"/>
      <c r="AZ3" s="20"/>
    </row>
    <row r="4" ht="12.0" customHeight="1">
      <c r="A4" s="43" t="s">
        <v>25</v>
      </c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19"/>
      <c r="AR4" s="20"/>
      <c r="AS4" s="20"/>
      <c r="AT4" s="20"/>
      <c r="AU4" s="20"/>
      <c r="AV4" s="20"/>
      <c r="AW4" s="20"/>
      <c r="AX4" s="20"/>
      <c r="AY4" s="20"/>
      <c r="AZ4" s="20"/>
    </row>
    <row r="5" ht="5.25" customHeight="1">
      <c r="A5" s="11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19"/>
      <c r="AR5" s="20"/>
      <c r="AS5" s="20"/>
      <c r="AT5" s="20"/>
      <c r="AU5" s="20"/>
      <c r="AV5" s="20"/>
      <c r="AW5" s="20"/>
      <c r="AX5" s="20"/>
      <c r="AY5" s="20"/>
      <c r="AZ5" s="20"/>
    </row>
    <row r="6" ht="12.0" customHeight="1">
      <c r="A6" s="57" t="s">
        <v>32</v>
      </c>
      <c r="B6" s="45"/>
      <c r="C6" s="45"/>
      <c r="D6" s="45"/>
      <c r="E6" s="45"/>
      <c r="F6" s="58"/>
      <c r="G6" s="57" t="s">
        <v>33</v>
      </c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58"/>
      <c r="AF6" s="57" t="s">
        <v>34</v>
      </c>
      <c r="AG6" s="45"/>
      <c r="AH6" s="45"/>
      <c r="AI6" s="45"/>
      <c r="AJ6" s="45"/>
      <c r="AK6" s="45"/>
      <c r="AL6" s="45"/>
      <c r="AM6" s="45"/>
      <c r="AN6" s="45"/>
      <c r="AO6" s="45"/>
      <c r="AP6" s="61"/>
      <c r="AQ6" s="19"/>
      <c r="AR6" s="20"/>
      <c r="AS6" s="20"/>
      <c r="AT6" s="20"/>
      <c r="AU6" s="20"/>
      <c r="AV6" s="20"/>
      <c r="AW6" s="20"/>
      <c r="AX6" s="20"/>
      <c r="AY6" s="20"/>
      <c r="AZ6" s="20"/>
    </row>
    <row r="7" ht="21.75" customHeight="1">
      <c r="A7" s="62" t="str">
        <f>Cadastro!D4</f>
        <v>Desenvolvimento de Aplicações com IA Generativa utilizando Google Antigravity</v>
      </c>
      <c r="B7" s="45"/>
      <c r="C7" s="45"/>
      <c r="D7" s="45"/>
      <c r="E7" s="45"/>
      <c r="F7" s="58"/>
      <c r="G7" s="63" t="str">
        <f>Cadastro!D10</f>
        <v>Desenvolvimento de Aplicações com IA Generativa utilizando Google Antigravity</v>
      </c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58"/>
      <c r="AF7" s="63">
        <f>Cadastro!F10</f>
        <v>40</v>
      </c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19"/>
      <c r="AR7" s="20"/>
      <c r="AS7" s="20"/>
      <c r="AT7" s="20"/>
      <c r="AU7" s="20"/>
      <c r="AV7" s="20"/>
      <c r="AW7" s="20"/>
      <c r="AX7" s="20"/>
      <c r="AY7" s="20"/>
      <c r="AZ7" s="20"/>
    </row>
    <row r="8" ht="12.0" customHeight="1">
      <c r="A8" s="57" t="s">
        <v>36</v>
      </c>
      <c r="B8" s="45"/>
      <c r="C8" s="45"/>
      <c r="D8" s="45"/>
      <c r="E8" s="58"/>
      <c r="F8" s="57" t="s">
        <v>37</v>
      </c>
      <c r="G8" s="45"/>
      <c r="H8" s="45"/>
      <c r="I8" s="45"/>
      <c r="J8" s="45"/>
      <c r="K8" s="45"/>
      <c r="L8" s="45"/>
      <c r="M8" s="45"/>
      <c r="N8" s="45"/>
      <c r="O8" s="45"/>
      <c r="P8" s="58"/>
      <c r="Q8" s="66" t="s">
        <v>38</v>
      </c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58"/>
      <c r="AF8" s="57" t="s">
        <v>39</v>
      </c>
      <c r="AG8" s="45"/>
      <c r="AH8" s="45"/>
      <c r="AI8" s="45"/>
      <c r="AJ8" s="45"/>
      <c r="AK8" s="45"/>
      <c r="AL8" s="45"/>
      <c r="AM8" s="45"/>
      <c r="AN8" s="45"/>
      <c r="AO8" s="45"/>
      <c r="AP8" s="61"/>
      <c r="AQ8" s="19"/>
      <c r="AR8" s="20"/>
      <c r="AS8" s="20"/>
      <c r="AT8" s="20"/>
      <c r="AU8" s="20"/>
      <c r="AV8" s="20"/>
      <c r="AW8" s="20"/>
      <c r="AX8" s="20"/>
      <c r="AY8" s="20"/>
      <c r="AZ8" s="20"/>
    </row>
    <row r="9" ht="12.0" customHeight="1">
      <c r="A9" s="62" t="str">
        <f>Cadastro!D7</f>
        <v>Gustavo da Silva Feriani</v>
      </c>
      <c r="B9" s="45"/>
      <c r="C9" s="45"/>
      <c r="D9" s="45"/>
      <c r="E9" s="58"/>
      <c r="F9" s="63" t="str">
        <f>Cadastro!D8</f>
        <v/>
      </c>
      <c r="G9" s="45"/>
      <c r="H9" s="45"/>
      <c r="I9" s="45"/>
      <c r="J9" s="45"/>
      <c r="K9" s="45"/>
      <c r="L9" s="45"/>
      <c r="M9" s="45"/>
      <c r="N9" s="45"/>
      <c r="O9" s="45"/>
      <c r="P9" s="58"/>
      <c r="Q9" s="63" t="str">
        <f>Cadastro!D5</f>
        <v>DESGAGR 2614IB</v>
      </c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58"/>
      <c r="AF9" s="62" t="str">
        <f>Cadastro!D6</f>
        <v>2º Sem/2026</v>
      </c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68"/>
      <c r="AR9" s="20"/>
      <c r="AS9" s="20"/>
      <c r="AT9" s="20"/>
      <c r="AU9" s="20"/>
      <c r="AV9" s="20"/>
      <c r="AW9" s="20"/>
      <c r="AX9" s="20"/>
      <c r="AY9" s="20"/>
      <c r="AZ9" s="20"/>
    </row>
    <row r="10" ht="9.0" customHeight="1">
      <c r="A10" s="11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19"/>
      <c r="AR10" s="20"/>
      <c r="AS10" s="20"/>
      <c r="AT10" s="20"/>
      <c r="AU10" s="20"/>
      <c r="AV10" s="20"/>
      <c r="AW10" s="20"/>
      <c r="AX10" s="20"/>
      <c r="AY10" s="20"/>
      <c r="AZ10" s="20"/>
    </row>
    <row r="11" ht="19.5" customHeight="1">
      <c r="A11" s="69" t="s">
        <v>40</v>
      </c>
      <c r="B11" s="70"/>
      <c r="C11" s="70"/>
      <c r="D11" s="71"/>
      <c r="E11" s="72" t="s">
        <v>41</v>
      </c>
      <c r="F11" s="70"/>
      <c r="G11" s="70"/>
      <c r="H11" s="70"/>
      <c r="I11" s="73"/>
      <c r="J11" s="74" t="s">
        <v>42</v>
      </c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19"/>
      <c r="AR11" s="20"/>
      <c r="AS11" s="20"/>
      <c r="AT11" s="20"/>
      <c r="AU11" s="20"/>
      <c r="AV11" s="20"/>
      <c r="AW11" s="20"/>
      <c r="AX11" s="20"/>
      <c r="AY11" s="20"/>
      <c r="AZ11" s="20"/>
    </row>
    <row r="12" ht="13.5" customHeight="1">
      <c r="A12" s="75"/>
      <c r="D12" s="76"/>
      <c r="E12" s="75"/>
      <c r="I12" s="77"/>
      <c r="J12" s="78">
        <v>1.0</v>
      </c>
      <c r="K12" s="78">
        <v>2.0</v>
      </c>
      <c r="L12" s="78">
        <v>3.0</v>
      </c>
      <c r="M12" s="78">
        <v>4.0</v>
      </c>
      <c r="N12" s="78">
        <v>5.0</v>
      </c>
      <c r="O12" s="78">
        <v>6.0</v>
      </c>
      <c r="P12" s="78">
        <v>7.0</v>
      </c>
      <c r="Q12" s="78">
        <v>8.0</v>
      </c>
      <c r="R12" s="78">
        <v>9.0</v>
      </c>
      <c r="S12" s="78">
        <v>10.0</v>
      </c>
      <c r="T12" s="78">
        <v>11.0</v>
      </c>
      <c r="U12" s="78">
        <v>12.0</v>
      </c>
      <c r="V12" s="78">
        <v>13.0</v>
      </c>
      <c r="W12" s="78">
        <v>14.0</v>
      </c>
      <c r="X12" s="78">
        <v>15.0</v>
      </c>
      <c r="Y12" s="78">
        <v>16.0</v>
      </c>
      <c r="Z12" s="78">
        <v>17.0</v>
      </c>
      <c r="AA12" s="78">
        <v>18.0</v>
      </c>
      <c r="AB12" s="78">
        <v>19.0</v>
      </c>
      <c r="AC12" s="78">
        <v>20.0</v>
      </c>
      <c r="AD12" s="78">
        <v>21.0</v>
      </c>
      <c r="AE12" s="78">
        <v>22.0</v>
      </c>
      <c r="AF12" s="78">
        <v>23.0</v>
      </c>
      <c r="AG12" s="78">
        <v>24.0</v>
      </c>
      <c r="AH12" s="78">
        <v>25.0</v>
      </c>
      <c r="AI12" s="78">
        <v>26.0</v>
      </c>
      <c r="AJ12" s="78">
        <v>27.0</v>
      </c>
      <c r="AK12" s="78">
        <v>28.0</v>
      </c>
      <c r="AL12" s="78">
        <v>29.0</v>
      </c>
      <c r="AM12" s="78">
        <v>30.0</v>
      </c>
      <c r="AN12" s="78">
        <v>31.0</v>
      </c>
      <c r="AO12" s="78">
        <v>32.0</v>
      </c>
      <c r="AP12" s="78">
        <v>33.0</v>
      </c>
      <c r="AQ12" s="19"/>
      <c r="AR12" s="20"/>
      <c r="AS12" s="20"/>
      <c r="AT12" s="20"/>
      <c r="AU12" s="20"/>
      <c r="AV12" s="20"/>
      <c r="AW12" s="20"/>
      <c r="AX12" s="20"/>
      <c r="AY12" s="20"/>
      <c r="AZ12" s="20"/>
    </row>
    <row r="13" ht="137.25" customHeight="1">
      <c r="A13" s="75"/>
      <c r="D13" s="76"/>
      <c r="E13" s="75"/>
      <c r="I13" s="79"/>
      <c r="J13" s="80" t="str">
        <f>IF(Cadastro!$D25="","",Cadastro!$D25)</f>
        <v>ALAN DA SILVA LIMA</v>
      </c>
      <c r="K13" s="80" t="str">
        <f>IF(Cadastro!$D26="","",Cadastro!$D26)</f>
        <v>EDILSON MOURA SANTOS</v>
      </c>
      <c r="L13" s="80" t="str">
        <f>IF(Cadastro!$D27="","",Cadastro!$D27)</f>
        <v>EVANDRO SPERANDIU GONCALVES</v>
      </c>
      <c r="M13" s="80" t="str">
        <f>IF(Cadastro!$D28="","",Cadastro!$D28)</f>
        <v>GIOVANNY HENRIQUE dos SANTOS</v>
      </c>
      <c r="N13" s="80" t="str">
        <f>IF(Cadastro!$D29="","",Cadastro!$D29)</f>
        <v>GLEITON VASCONCELOS DE MELO</v>
      </c>
      <c r="O13" s="80" t="str">
        <f>IF(Cadastro!$D30="","",Cadastro!$D30)</f>
        <v>GUSTAVO BORGES</v>
      </c>
      <c r="P13" s="80" t="str">
        <f>IF(Cadastro!$D31="","",Cadastro!$D31)</f>
        <v>LIZA JANE ALEXANDER FRANCA OLIVEIRA</v>
      </c>
      <c r="Q13" s="80" t="str">
        <f>IF(Cadastro!$D32="","",Cadastro!$D32)</f>
        <v>NILDEVANIA VASCONCELOS de MELO SOUZA</v>
      </c>
      <c r="R13" s="80" t="str">
        <f>IF(Cadastro!$D33="","",Cadastro!$D33)</f>
        <v>OSWALDO DA SILVA BARBOSA DOS SANTOS</v>
      </c>
      <c r="S13" s="80" t="str">
        <f>IF(Cadastro!$D34="","",Cadastro!$D34)</f>
        <v>TIAGO DA SILVA FERREIRA NEVES</v>
      </c>
      <c r="T13" s="80" t="str">
        <f>IF(Cadastro!$D35="","",Cadastro!$D35)</f>
        <v/>
      </c>
      <c r="U13" s="80" t="str">
        <f>IF(Cadastro!$D36="","",Cadastro!$D36)</f>
        <v/>
      </c>
      <c r="V13" s="80" t="str">
        <f>IF(Cadastro!$D37="","",Cadastro!$D37)</f>
        <v/>
      </c>
      <c r="W13" s="80" t="str">
        <f>IF(Cadastro!$D38="","",Cadastro!$D38)</f>
        <v/>
      </c>
      <c r="X13" s="80" t="str">
        <f>IF(Cadastro!$D39="","",Cadastro!$D39)</f>
        <v/>
      </c>
      <c r="Y13" s="80" t="str">
        <f>IF(Cadastro!$D40="","",Cadastro!$D40)</f>
        <v/>
      </c>
      <c r="Z13" s="80" t="str">
        <f>IF(Cadastro!$D41="","",Cadastro!$D41)</f>
        <v/>
      </c>
      <c r="AA13" s="80" t="str">
        <f>IF(Cadastro!$D42="","",Cadastro!$D42)</f>
        <v/>
      </c>
      <c r="AB13" s="80" t="str">
        <f>IF(Cadastro!$D43="","",Cadastro!$D43)</f>
        <v/>
      </c>
      <c r="AC13" s="80" t="str">
        <f>IF(Cadastro!$D44="","",Cadastro!$D44)</f>
        <v/>
      </c>
      <c r="AD13" s="80" t="str">
        <f>IF(Cadastro!$D45="","",Cadastro!$D45)</f>
        <v/>
      </c>
      <c r="AE13" s="80" t="str">
        <f>IF(Cadastro!$D46="","",Cadastro!$D46)</f>
        <v/>
      </c>
      <c r="AF13" s="80" t="str">
        <f>IF(Cadastro!$D47="","",Cadastro!$D47)</f>
        <v/>
      </c>
      <c r="AG13" s="80" t="str">
        <f>IF(Cadastro!$D48="","",Cadastro!$D48)</f>
        <v/>
      </c>
      <c r="AH13" s="80" t="str">
        <f>IF(Cadastro!$D49="","",Cadastro!$D49)</f>
        <v/>
      </c>
      <c r="AI13" s="80" t="str">
        <f>IF(Cadastro!$D50="","",Cadastro!$D50)</f>
        <v/>
      </c>
      <c r="AJ13" s="80" t="str">
        <f>IF(Cadastro!$D51="","",Cadastro!$D51)</f>
        <v/>
      </c>
      <c r="AK13" s="86" t="str">
        <f>IF(Cadastro!$D52="","",Cadastro!$D52)</f>
        <v/>
      </c>
      <c r="AL13" s="86" t="str">
        <f>IF(Cadastro!$D53="","",Cadastro!$D53)</f>
        <v/>
      </c>
      <c r="AM13" s="86" t="str">
        <f>IF(Cadastro!$D54="","",Cadastro!$D54)</f>
        <v/>
      </c>
      <c r="AN13" s="86" t="str">
        <f>IF(Cadastro!$D55="","",Cadastro!$D55)</f>
        <v/>
      </c>
      <c r="AO13" s="86" t="str">
        <f>IF(Cadastro!$D56="","",Cadastro!$D56)</f>
        <v/>
      </c>
      <c r="AP13" s="86" t="str">
        <f>IF(Cadastro!$D57="","",Cadastro!$D57)</f>
        <v/>
      </c>
      <c r="AQ13" s="68"/>
      <c r="AR13" s="20"/>
      <c r="AS13" s="20"/>
      <c r="AT13" s="20"/>
      <c r="AU13" s="20"/>
      <c r="AV13" s="20"/>
      <c r="AW13" s="20"/>
      <c r="AX13" s="20"/>
      <c r="AY13" s="20"/>
      <c r="AZ13" s="20"/>
    </row>
    <row r="14" ht="17.25" customHeight="1">
      <c r="A14" s="89"/>
      <c r="B14" s="32"/>
      <c r="C14" s="32"/>
      <c r="D14" s="90"/>
      <c r="E14" s="89"/>
      <c r="F14" s="32"/>
      <c r="G14" s="32"/>
      <c r="H14" s="32"/>
      <c r="I14" s="90"/>
      <c r="J14" s="91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  <c r="V14" s="91"/>
      <c r="W14" s="91"/>
      <c r="X14" s="91"/>
      <c r="Y14" s="91"/>
      <c r="Z14" s="91"/>
      <c r="AA14" s="91"/>
      <c r="AB14" s="91"/>
      <c r="AC14" s="91"/>
      <c r="AD14" s="91"/>
      <c r="AE14" s="91"/>
      <c r="AF14" s="91"/>
      <c r="AG14" s="91"/>
      <c r="AH14" s="91"/>
      <c r="AI14" s="91"/>
      <c r="AJ14" s="91"/>
      <c r="AK14" s="91"/>
      <c r="AL14" s="91"/>
      <c r="AM14" s="91"/>
      <c r="AN14" s="91"/>
      <c r="AO14" s="91"/>
      <c r="AP14" s="91"/>
      <c r="AQ14" s="93"/>
      <c r="AR14" s="20"/>
      <c r="AS14" s="20"/>
      <c r="AT14" s="20"/>
      <c r="AU14" s="20"/>
      <c r="AV14" s="20"/>
      <c r="AW14" s="20"/>
      <c r="AX14" s="20"/>
      <c r="AY14" s="20"/>
      <c r="AZ14" s="20"/>
    </row>
    <row r="15" ht="53.25" customHeight="1">
      <c r="A15" s="94" t="s">
        <v>48</v>
      </c>
      <c r="B15" s="70"/>
      <c r="C15" s="70"/>
      <c r="D15" s="71"/>
      <c r="E15" s="95" t="s">
        <v>49</v>
      </c>
      <c r="F15" s="45"/>
      <c r="G15" s="45"/>
      <c r="H15" s="45"/>
      <c r="I15" s="96" t="s">
        <v>50</v>
      </c>
      <c r="J15" s="97" t="s">
        <v>51</v>
      </c>
      <c r="K15" s="97" t="s">
        <v>51</v>
      </c>
      <c r="L15" s="97" t="s">
        <v>51</v>
      </c>
      <c r="M15" s="97" t="s">
        <v>51</v>
      </c>
      <c r="N15" s="97" t="s">
        <v>51</v>
      </c>
      <c r="O15" s="97" t="s">
        <v>51</v>
      </c>
      <c r="P15" s="97" t="s">
        <v>51</v>
      </c>
      <c r="Q15" s="97" t="s">
        <v>51</v>
      </c>
      <c r="R15" s="97" t="s">
        <v>51</v>
      </c>
      <c r="S15" s="97" t="s">
        <v>51</v>
      </c>
      <c r="T15" s="97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  <c r="AO15" s="97"/>
      <c r="AP15" s="97"/>
      <c r="AQ15" s="19"/>
      <c r="AR15" s="20"/>
      <c r="AS15" s="20"/>
      <c r="AT15" s="20"/>
      <c r="AU15" s="20"/>
      <c r="AV15" s="20"/>
      <c r="AW15" s="20"/>
      <c r="AX15" s="20"/>
      <c r="AY15" s="20"/>
      <c r="AZ15" s="20"/>
    </row>
    <row r="16" ht="33.0" customHeight="1">
      <c r="A16" s="89"/>
      <c r="B16" s="32"/>
      <c r="C16" s="32"/>
      <c r="D16" s="90"/>
      <c r="E16" s="98" t="s">
        <v>55</v>
      </c>
      <c r="F16" s="45"/>
      <c r="G16" s="45"/>
      <c r="H16" s="45"/>
      <c r="I16" s="96" t="s">
        <v>56</v>
      </c>
      <c r="J16" s="97" t="s">
        <v>51</v>
      </c>
      <c r="K16" s="97" t="s">
        <v>51</v>
      </c>
      <c r="L16" s="97" t="s">
        <v>51</v>
      </c>
      <c r="M16" s="97" t="s">
        <v>51</v>
      </c>
      <c r="N16" s="97" t="s">
        <v>51</v>
      </c>
      <c r="O16" s="97" t="s">
        <v>51</v>
      </c>
      <c r="P16" s="97" t="s">
        <v>51</v>
      </c>
      <c r="Q16" s="97" t="s">
        <v>51</v>
      </c>
      <c r="R16" s="97" t="s">
        <v>51</v>
      </c>
      <c r="S16" s="97" t="s">
        <v>51</v>
      </c>
      <c r="T16" s="97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97"/>
      <c r="AO16" s="97"/>
      <c r="AP16" s="97"/>
      <c r="AQ16" s="19"/>
      <c r="AR16" s="20"/>
      <c r="AS16" s="20"/>
      <c r="AT16" s="20"/>
      <c r="AU16" s="20"/>
      <c r="AV16" s="20"/>
      <c r="AW16" s="20"/>
      <c r="AX16" s="20"/>
      <c r="AY16" s="20"/>
      <c r="AZ16" s="20"/>
    </row>
    <row r="17" ht="41.25" customHeight="1">
      <c r="A17" s="94" t="s">
        <v>59</v>
      </c>
      <c r="B17" s="70"/>
      <c r="C17" s="70"/>
      <c r="D17" s="71"/>
      <c r="E17" s="95" t="s">
        <v>60</v>
      </c>
      <c r="F17" s="45"/>
      <c r="G17" s="45"/>
      <c r="H17" s="45"/>
      <c r="I17" s="96" t="s">
        <v>50</v>
      </c>
      <c r="J17" s="97" t="s">
        <v>51</v>
      </c>
      <c r="K17" s="97" t="s">
        <v>51</v>
      </c>
      <c r="L17" s="97" t="s">
        <v>51</v>
      </c>
      <c r="M17" s="97" t="s">
        <v>51</v>
      </c>
      <c r="N17" s="97" t="s">
        <v>51</v>
      </c>
      <c r="O17" s="97" t="s">
        <v>51</v>
      </c>
      <c r="P17" s="97" t="s">
        <v>51</v>
      </c>
      <c r="Q17" s="97" t="s">
        <v>51</v>
      </c>
      <c r="R17" s="97" t="s">
        <v>51</v>
      </c>
      <c r="S17" s="97" t="s">
        <v>51</v>
      </c>
      <c r="T17" s="97"/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  <c r="AJ17" s="97"/>
      <c r="AK17" s="97"/>
      <c r="AL17" s="97"/>
      <c r="AM17" s="97"/>
      <c r="AN17" s="97"/>
      <c r="AO17" s="97"/>
      <c r="AP17" s="97"/>
      <c r="AQ17" s="19"/>
      <c r="AR17" s="20"/>
      <c r="AS17" s="20"/>
      <c r="AT17" s="20"/>
      <c r="AU17" s="20"/>
      <c r="AV17" s="20"/>
      <c r="AW17" s="20"/>
      <c r="AX17" s="20"/>
      <c r="AY17" s="20"/>
      <c r="AZ17" s="20"/>
    </row>
    <row r="18" ht="30.75" customHeight="1">
      <c r="A18" s="89"/>
      <c r="B18" s="32"/>
      <c r="C18" s="32"/>
      <c r="D18" s="90"/>
      <c r="E18" s="98" t="s">
        <v>64</v>
      </c>
      <c r="F18" s="45"/>
      <c r="G18" s="45"/>
      <c r="H18" s="45"/>
      <c r="I18" s="96" t="s">
        <v>56</v>
      </c>
      <c r="J18" s="97" t="s">
        <v>51</v>
      </c>
      <c r="K18" s="97" t="s">
        <v>51</v>
      </c>
      <c r="L18" s="97" t="s">
        <v>51</v>
      </c>
      <c r="M18" s="97" t="s">
        <v>51</v>
      </c>
      <c r="N18" s="97" t="s">
        <v>51</v>
      </c>
      <c r="O18" s="97" t="s">
        <v>51</v>
      </c>
      <c r="P18" s="97" t="s">
        <v>51</v>
      </c>
      <c r="Q18" s="97" t="s">
        <v>51</v>
      </c>
      <c r="R18" s="97" t="s">
        <v>51</v>
      </c>
      <c r="S18" s="97" t="s">
        <v>51</v>
      </c>
      <c r="T18" s="97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  <c r="AF18" s="97"/>
      <c r="AG18" s="97"/>
      <c r="AH18" s="97"/>
      <c r="AI18" s="97"/>
      <c r="AJ18" s="97"/>
      <c r="AK18" s="97"/>
      <c r="AL18" s="97"/>
      <c r="AM18" s="97"/>
      <c r="AN18" s="97"/>
      <c r="AO18" s="97"/>
      <c r="AP18" s="97"/>
      <c r="AQ18" s="19"/>
      <c r="AR18" s="20"/>
      <c r="AS18" s="20"/>
      <c r="AT18" s="20"/>
      <c r="AU18" s="20"/>
      <c r="AV18" s="20"/>
      <c r="AW18" s="20"/>
      <c r="AX18" s="20"/>
      <c r="AY18" s="20"/>
      <c r="AZ18" s="20"/>
    </row>
    <row r="19" ht="33.75" customHeight="1">
      <c r="A19" s="94" t="s">
        <v>66</v>
      </c>
      <c r="B19" s="70"/>
      <c r="C19" s="70"/>
      <c r="D19" s="71"/>
      <c r="E19" s="95" t="s">
        <v>68</v>
      </c>
      <c r="F19" s="45"/>
      <c r="G19" s="45"/>
      <c r="H19" s="45"/>
      <c r="I19" s="96" t="s">
        <v>50</v>
      </c>
      <c r="J19" s="97" t="s">
        <v>51</v>
      </c>
      <c r="K19" s="97" t="s">
        <v>51</v>
      </c>
      <c r="L19" s="97" t="s">
        <v>51</v>
      </c>
      <c r="M19" s="97" t="s">
        <v>51</v>
      </c>
      <c r="N19" s="97" t="s">
        <v>51</v>
      </c>
      <c r="O19" s="97" t="s">
        <v>51</v>
      </c>
      <c r="P19" s="97" t="s">
        <v>51</v>
      </c>
      <c r="Q19" s="97" t="s">
        <v>51</v>
      </c>
      <c r="R19" s="97" t="s">
        <v>51</v>
      </c>
      <c r="S19" s="97" t="s">
        <v>51</v>
      </c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19"/>
      <c r="AR19" s="20"/>
      <c r="AS19" s="20"/>
      <c r="AT19" s="20"/>
      <c r="AU19" s="20"/>
      <c r="AV19" s="20"/>
      <c r="AW19" s="20"/>
      <c r="AX19" s="20"/>
      <c r="AY19" s="20"/>
      <c r="AZ19" s="20"/>
    </row>
    <row r="20" ht="33.0" customHeight="1">
      <c r="A20" s="89"/>
      <c r="B20" s="32"/>
      <c r="C20" s="32"/>
      <c r="D20" s="90"/>
      <c r="E20" s="98" t="s">
        <v>69</v>
      </c>
      <c r="F20" s="45"/>
      <c r="G20" s="45"/>
      <c r="H20" s="45"/>
      <c r="I20" s="96" t="s">
        <v>56</v>
      </c>
      <c r="J20" s="97" t="s">
        <v>51</v>
      </c>
      <c r="K20" s="97" t="s">
        <v>51</v>
      </c>
      <c r="L20" s="97" t="s">
        <v>51</v>
      </c>
      <c r="M20" s="97" t="s">
        <v>51</v>
      </c>
      <c r="N20" s="97" t="s">
        <v>51</v>
      </c>
      <c r="O20" s="97" t="s">
        <v>51</v>
      </c>
      <c r="P20" s="97" t="s">
        <v>51</v>
      </c>
      <c r="Q20" s="97" t="s">
        <v>51</v>
      </c>
      <c r="R20" s="97" t="s">
        <v>51</v>
      </c>
      <c r="S20" s="97" t="s">
        <v>51</v>
      </c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  <c r="AO20" s="97"/>
      <c r="AP20" s="97"/>
      <c r="AQ20" s="19"/>
      <c r="AR20" s="20"/>
      <c r="AS20" s="20"/>
      <c r="AT20" s="20"/>
      <c r="AU20" s="20"/>
      <c r="AV20" s="20"/>
      <c r="AW20" s="20"/>
      <c r="AX20" s="20"/>
      <c r="AY20" s="20"/>
      <c r="AZ20" s="20"/>
    </row>
    <row r="21" ht="41.25" customHeight="1">
      <c r="A21" s="94" t="s">
        <v>70</v>
      </c>
      <c r="B21" s="70"/>
      <c r="C21" s="70"/>
      <c r="D21" s="71"/>
      <c r="E21" s="95" t="s">
        <v>71</v>
      </c>
      <c r="F21" s="45"/>
      <c r="G21" s="45"/>
      <c r="H21" s="45"/>
      <c r="I21" s="96" t="s">
        <v>50</v>
      </c>
      <c r="J21" s="97" t="s">
        <v>51</v>
      </c>
      <c r="K21" s="97" t="s">
        <v>51</v>
      </c>
      <c r="L21" s="97" t="s">
        <v>51</v>
      </c>
      <c r="M21" s="97" t="s">
        <v>51</v>
      </c>
      <c r="N21" s="97" t="s">
        <v>51</v>
      </c>
      <c r="O21" s="97" t="s">
        <v>51</v>
      </c>
      <c r="P21" s="97" t="s">
        <v>51</v>
      </c>
      <c r="Q21" s="97" t="s">
        <v>51</v>
      </c>
      <c r="R21" s="97" t="s">
        <v>51</v>
      </c>
      <c r="S21" s="97" t="s">
        <v>51</v>
      </c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19"/>
      <c r="AR21" s="20"/>
      <c r="AS21" s="20"/>
      <c r="AT21" s="20"/>
      <c r="AU21" s="20"/>
      <c r="AV21" s="20"/>
      <c r="AW21" s="20"/>
      <c r="AX21" s="20"/>
      <c r="AY21" s="20"/>
      <c r="AZ21" s="20"/>
    </row>
    <row r="22" ht="44.25" customHeight="1">
      <c r="A22" s="89"/>
      <c r="B22" s="32"/>
      <c r="C22" s="32"/>
      <c r="D22" s="90"/>
      <c r="E22" s="98" t="s">
        <v>72</v>
      </c>
      <c r="F22" s="45"/>
      <c r="G22" s="45"/>
      <c r="H22" s="45"/>
      <c r="I22" s="96" t="s">
        <v>56</v>
      </c>
      <c r="J22" s="97" t="s">
        <v>51</v>
      </c>
      <c r="K22" s="97" t="s">
        <v>51</v>
      </c>
      <c r="L22" s="97" t="s">
        <v>51</v>
      </c>
      <c r="M22" s="97" t="s">
        <v>51</v>
      </c>
      <c r="N22" s="97" t="s">
        <v>51</v>
      </c>
      <c r="O22" s="97" t="s">
        <v>51</v>
      </c>
      <c r="P22" s="97" t="s">
        <v>51</v>
      </c>
      <c r="Q22" s="97" t="s">
        <v>51</v>
      </c>
      <c r="R22" s="97" t="s">
        <v>51</v>
      </c>
      <c r="S22" s="97" t="s">
        <v>51</v>
      </c>
      <c r="T22" s="97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7"/>
      <c r="AL22" s="97"/>
      <c r="AM22" s="97"/>
      <c r="AN22" s="97"/>
      <c r="AO22" s="97"/>
      <c r="AP22" s="97"/>
      <c r="AQ22" s="19"/>
      <c r="AR22" s="20"/>
      <c r="AS22" s="20"/>
      <c r="AT22" s="20"/>
      <c r="AU22" s="20"/>
      <c r="AV22" s="20"/>
      <c r="AW22" s="20"/>
      <c r="AX22" s="20"/>
      <c r="AY22" s="20"/>
      <c r="AZ22" s="20"/>
    </row>
    <row r="23" ht="41.25" customHeight="1">
      <c r="A23" s="94" t="s">
        <v>73</v>
      </c>
      <c r="B23" s="70"/>
      <c r="C23" s="70"/>
      <c r="D23" s="71"/>
      <c r="E23" s="95" t="s">
        <v>74</v>
      </c>
      <c r="F23" s="45"/>
      <c r="G23" s="45"/>
      <c r="H23" s="45"/>
      <c r="I23" s="96" t="s">
        <v>50</v>
      </c>
      <c r="J23" s="97" t="s">
        <v>51</v>
      </c>
      <c r="K23" s="97" t="s">
        <v>51</v>
      </c>
      <c r="L23" s="97" t="s">
        <v>51</v>
      </c>
      <c r="M23" s="97" t="s">
        <v>51</v>
      </c>
      <c r="N23" s="97" t="s">
        <v>51</v>
      </c>
      <c r="O23" s="97" t="s">
        <v>51</v>
      </c>
      <c r="P23" s="97" t="s">
        <v>51</v>
      </c>
      <c r="Q23" s="97" t="s">
        <v>51</v>
      </c>
      <c r="R23" s="97" t="s">
        <v>51</v>
      </c>
      <c r="S23" s="97" t="s">
        <v>51</v>
      </c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19"/>
      <c r="AR23" s="20"/>
      <c r="AS23" s="20"/>
      <c r="AT23" s="20"/>
      <c r="AU23" s="20"/>
      <c r="AV23" s="20"/>
      <c r="AW23" s="20"/>
      <c r="AX23" s="20"/>
      <c r="AY23" s="20"/>
      <c r="AZ23" s="20"/>
    </row>
    <row r="24" ht="41.25" customHeight="1">
      <c r="A24" s="89"/>
      <c r="B24" s="32"/>
      <c r="C24" s="32"/>
      <c r="D24" s="90"/>
      <c r="E24" s="98" t="s">
        <v>75</v>
      </c>
      <c r="F24" s="45"/>
      <c r="G24" s="45"/>
      <c r="H24" s="45"/>
      <c r="I24" s="96" t="s">
        <v>56</v>
      </c>
      <c r="J24" s="97" t="s">
        <v>51</v>
      </c>
      <c r="K24" s="97" t="s">
        <v>51</v>
      </c>
      <c r="L24" s="97" t="s">
        <v>51</v>
      </c>
      <c r="M24" s="97" t="s">
        <v>51</v>
      </c>
      <c r="N24" s="97" t="s">
        <v>51</v>
      </c>
      <c r="O24" s="97" t="s">
        <v>51</v>
      </c>
      <c r="P24" s="97" t="s">
        <v>51</v>
      </c>
      <c r="Q24" s="97" t="s">
        <v>51</v>
      </c>
      <c r="R24" s="97" t="s">
        <v>51</v>
      </c>
      <c r="S24" s="97" t="s">
        <v>51</v>
      </c>
      <c r="T24" s="97"/>
      <c r="U24" s="97"/>
      <c r="V24" s="97"/>
      <c r="W24" s="97"/>
      <c r="X24" s="97"/>
      <c r="Y24" s="97"/>
      <c r="Z24" s="97"/>
      <c r="AA24" s="97"/>
      <c r="AB24" s="97"/>
      <c r="AC24" s="97"/>
      <c r="AD24" s="97"/>
      <c r="AE24" s="97"/>
      <c r="AF24" s="97"/>
      <c r="AG24" s="97"/>
      <c r="AH24" s="97"/>
      <c r="AI24" s="97"/>
      <c r="AJ24" s="97"/>
      <c r="AK24" s="97"/>
      <c r="AL24" s="97"/>
      <c r="AM24" s="97"/>
      <c r="AN24" s="97"/>
      <c r="AO24" s="97"/>
      <c r="AP24" s="97"/>
      <c r="AQ24" s="19"/>
      <c r="AR24" s="20"/>
      <c r="AS24" s="20"/>
      <c r="AT24" s="20"/>
      <c r="AU24" s="20"/>
      <c r="AV24" s="20"/>
      <c r="AW24" s="20"/>
      <c r="AX24" s="20"/>
      <c r="AY24" s="20"/>
      <c r="AZ24" s="20"/>
    </row>
    <row r="25" ht="52.5" customHeight="1">
      <c r="A25" s="110"/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  <c r="R25" s="111"/>
      <c r="S25" s="111"/>
      <c r="T25" s="111"/>
      <c r="U25" s="111"/>
      <c r="V25" s="111"/>
      <c r="W25" s="111"/>
      <c r="X25" s="111"/>
      <c r="Y25" s="111"/>
      <c r="Z25" s="111"/>
      <c r="AA25" s="111"/>
      <c r="AB25" s="111"/>
      <c r="AC25" s="111"/>
      <c r="AD25" s="111"/>
      <c r="AE25" s="111"/>
      <c r="AF25" s="111"/>
      <c r="AG25" s="111"/>
      <c r="AH25" s="111"/>
      <c r="AI25" s="111"/>
      <c r="AJ25" s="111"/>
      <c r="AK25" s="111"/>
      <c r="AL25" s="111"/>
      <c r="AM25" s="111"/>
      <c r="AN25" s="111"/>
      <c r="AO25" s="111"/>
      <c r="AP25" s="111"/>
      <c r="AQ25" s="111"/>
      <c r="AR25" s="111"/>
      <c r="AS25" s="111"/>
      <c r="AT25" s="111"/>
      <c r="AU25" s="111"/>
      <c r="AV25" s="111"/>
      <c r="AW25" s="111"/>
      <c r="AX25" s="111"/>
      <c r="AY25" s="111"/>
      <c r="AZ25" s="111"/>
      <c r="BA25" s="111"/>
      <c r="BB25" s="111"/>
      <c r="BC25" s="111"/>
      <c r="BD25" s="111"/>
      <c r="BE25" s="111"/>
      <c r="BF25" s="111"/>
      <c r="BG25" s="111"/>
      <c r="BH25" s="111"/>
      <c r="BI25" s="111"/>
      <c r="BJ25" s="111"/>
    </row>
    <row r="26" ht="41.25" customHeight="1">
      <c r="A26" s="94" t="s">
        <v>76</v>
      </c>
      <c r="B26" s="70"/>
      <c r="C26" s="70"/>
      <c r="D26" s="71"/>
      <c r="E26" s="95" t="s">
        <v>77</v>
      </c>
      <c r="F26" s="45"/>
      <c r="G26" s="45"/>
      <c r="H26" s="45"/>
      <c r="I26" s="96" t="s">
        <v>50</v>
      </c>
      <c r="J26" s="97" t="s">
        <v>51</v>
      </c>
      <c r="K26" s="97" t="s">
        <v>51</v>
      </c>
      <c r="L26" s="97" t="s">
        <v>51</v>
      </c>
      <c r="M26" s="97" t="s">
        <v>51</v>
      </c>
      <c r="N26" s="97" t="s">
        <v>51</v>
      </c>
      <c r="O26" s="97" t="s">
        <v>51</v>
      </c>
      <c r="P26" s="97" t="s">
        <v>51</v>
      </c>
      <c r="Q26" s="97" t="s">
        <v>51</v>
      </c>
      <c r="R26" s="97" t="s">
        <v>51</v>
      </c>
      <c r="S26" s="97" t="s">
        <v>51</v>
      </c>
      <c r="T26" s="97"/>
      <c r="U26" s="97"/>
      <c r="V26" s="97"/>
      <c r="W26" s="97"/>
      <c r="X26" s="97"/>
      <c r="Y26" s="97"/>
      <c r="Z26" s="97"/>
      <c r="AA26" s="97"/>
      <c r="AB26" s="97"/>
      <c r="AC26" s="97"/>
      <c r="AD26" s="97"/>
      <c r="AE26" s="97"/>
      <c r="AF26" s="97"/>
      <c r="AG26" s="97"/>
      <c r="AH26" s="97"/>
      <c r="AI26" s="97"/>
      <c r="AJ26" s="97"/>
      <c r="AK26" s="97"/>
      <c r="AL26" s="97"/>
      <c r="AM26" s="97"/>
      <c r="AN26" s="97"/>
      <c r="AO26" s="97"/>
      <c r="AP26" s="97"/>
      <c r="AQ26" s="112"/>
      <c r="AR26" s="20"/>
      <c r="AS26" s="20"/>
      <c r="AT26" s="20"/>
      <c r="AU26" s="20"/>
      <c r="AV26" s="20"/>
      <c r="AW26" s="20"/>
      <c r="AX26" s="20"/>
      <c r="AY26" s="20"/>
      <c r="AZ26" s="20"/>
    </row>
    <row r="27" ht="36.75" customHeight="1">
      <c r="A27" s="89"/>
      <c r="B27" s="32"/>
      <c r="C27" s="32"/>
      <c r="D27" s="90"/>
      <c r="E27" s="98" t="s">
        <v>78</v>
      </c>
      <c r="F27" s="45"/>
      <c r="G27" s="45"/>
      <c r="H27" s="45"/>
      <c r="I27" s="96" t="s">
        <v>56</v>
      </c>
      <c r="J27" s="97" t="s">
        <v>51</v>
      </c>
      <c r="K27" s="97" t="s">
        <v>51</v>
      </c>
      <c r="L27" s="97" t="s">
        <v>51</v>
      </c>
      <c r="M27" s="97" t="s">
        <v>51</v>
      </c>
      <c r="N27" s="97" t="s">
        <v>51</v>
      </c>
      <c r="O27" s="97" t="s">
        <v>51</v>
      </c>
      <c r="P27" s="97" t="s">
        <v>51</v>
      </c>
      <c r="Q27" s="97" t="s">
        <v>51</v>
      </c>
      <c r="R27" s="97" t="s">
        <v>51</v>
      </c>
      <c r="S27" s="97" t="s">
        <v>51</v>
      </c>
      <c r="T27" s="97"/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  <c r="AJ27" s="97"/>
      <c r="AK27" s="97"/>
      <c r="AL27" s="97"/>
      <c r="AM27" s="97"/>
      <c r="AN27" s="97"/>
      <c r="AO27" s="97"/>
      <c r="AP27" s="97"/>
      <c r="AQ27" s="112"/>
      <c r="AR27" s="20"/>
      <c r="AS27" s="20"/>
      <c r="AT27" s="20"/>
      <c r="AU27" s="20"/>
      <c r="AV27" s="20"/>
      <c r="AW27" s="20"/>
      <c r="AX27" s="20"/>
      <c r="AY27" s="20"/>
      <c r="AZ27" s="20"/>
    </row>
    <row r="28" ht="42.75" customHeight="1">
      <c r="A28" s="94" t="s">
        <v>73</v>
      </c>
      <c r="B28" s="70"/>
      <c r="C28" s="70"/>
      <c r="D28" s="71"/>
      <c r="E28" s="95" t="s">
        <v>79</v>
      </c>
      <c r="F28" s="45"/>
      <c r="G28" s="45"/>
      <c r="H28" s="45"/>
      <c r="I28" s="96" t="s">
        <v>50</v>
      </c>
      <c r="J28" s="97" t="s">
        <v>51</v>
      </c>
      <c r="K28" s="97" t="s">
        <v>51</v>
      </c>
      <c r="L28" s="97" t="s">
        <v>51</v>
      </c>
      <c r="M28" s="97" t="s">
        <v>51</v>
      </c>
      <c r="N28" s="97" t="s">
        <v>51</v>
      </c>
      <c r="O28" s="97" t="s">
        <v>51</v>
      </c>
      <c r="P28" s="97" t="s">
        <v>51</v>
      </c>
      <c r="Q28" s="97" t="s">
        <v>51</v>
      </c>
      <c r="R28" s="97" t="s">
        <v>51</v>
      </c>
      <c r="S28" s="97" t="s">
        <v>51</v>
      </c>
      <c r="T28" s="97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  <c r="AJ28" s="97"/>
      <c r="AK28" s="97"/>
      <c r="AL28" s="97"/>
      <c r="AM28" s="97"/>
      <c r="AN28" s="97"/>
      <c r="AO28" s="97"/>
      <c r="AP28" s="97"/>
      <c r="AQ28" s="112"/>
      <c r="AR28" s="20"/>
      <c r="AS28" s="20"/>
      <c r="AT28" s="20"/>
      <c r="AU28" s="20"/>
      <c r="AV28" s="20"/>
      <c r="AW28" s="20"/>
      <c r="AX28" s="20"/>
      <c r="AY28" s="20"/>
      <c r="AZ28" s="20"/>
    </row>
    <row r="29" ht="37.5" customHeight="1">
      <c r="A29" s="89"/>
      <c r="B29" s="32"/>
      <c r="C29" s="32"/>
      <c r="D29" s="90"/>
      <c r="E29" s="98" t="s">
        <v>80</v>
      </c>
      <c r="F29" s="45"/>
      <c r="G29" s="45"/>
      <c r="H29" s="45"/>
      <c r="I29" s="96" t="s">
        <v>56</v>
      </c>
      <c r="J29" s="97" t="s">
        <v>51</v>
      </c>
      <c r="K29" s="97" t="s">
        <v>51</v>
      </c>
      <c r="L29" s="97" t="s">
        <v>51</v>
      </c>
      <c r="M29" s="97" t="s">
        <v>51</v>
      </c>
      <c r="N29" s="97" t="s">
        <v>51</v>
      </c>
      <c r="O29" s="97" t="s">
        <v>51</v>
      </c>
      <c r="P29" s="97" t="s">
        <v>51</v>
      </c>
      <c r="Q29" s="97" t="s">
        <v>51</v>
      </c>
      <c r="R29" s="97" t="s">
        <v>51</v>
      </c>
      <c r="S29" s="97" t="s">
        <v>51</v>
      </c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7"/>
      <c r="AF29" s="97"/>
      <c r="AG29" s="97"/>
      <c r="AH29" s="97"/>
      <c r="AI29" s="97"/>
      <c r="AJ29" s="97"/>
      <c r="AK29" s="97"/>
      <c r="AL29" s="97"/>
      <c r="AM29" s="97"/>
      <c r="AN29" s="97"/>
      <c r="AO29" s="97"/>
      <c r="AP29" s="97"/>
      <c r="AQ29" s="112"/>
      <c r="AR29" s="20"/>
      <c r="AS29" s="20"/>
      <c r="AT29" s="20"/>
      <c r="AU29" s="20"/>
      <c r="AV29" s="20"/>
      <c r="AW29" s="20"/>
      <c r="AX29" s="20"/>
      <c r="AY29" s="20"/>
      <c r="AZ29" s="20"/>
    </row>
    <row r="30" ht="37.5" customHeight="1">
      <c r="A30" s="94" t="s">
        <v>81</v>
      </c>
      <c r="B30" s="70"/>
      <c r="C30" s="70"/>
      <c r="D30" s="71"/>
      <c r="E30" s="95" t="s">
        <v>82</v>
      </c>
      <c r="F30" s="45"/>
      <c r="G30" s="45"/>
      <c r="H30" s="45"/>
      <c r="I30" s="96" t="s">
        <v>50</v>
      </c>
      <c r="J30" s="97" t="s">
        <v>51</v>
      </c>
      <c r="K30" s="97" t="s">
        <v>51</v>
      </c>
      <c r="L30" s="97" t="s">
        <v>51</v>
      </c>
      <c r="M30" s="97" t="s">
        <v>51</v>
      </c>
      <c r="N30" s="97" t="s">
        <v>51</v>
      </c>
      <c r="O30" s="97" t="s">
        <v>51</v>
      </c>
      <c r="P30" s="97" t="s">
        <v>51</v>
      </c>
      <c r="Q30" s="97" t="s">
        <v>51</v>
      </c>
      <c r="R30" s="97" t="s">
        <v>51</v>
      </c>
      <c r="S30" s="97" t="s">
        <v>51</v>
      </c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7"/>
      <c r="AF30" s="97"/>
      <c r="AG30" s="97"/>
      <c r="AH30" s="97"/>
      <c r="AI30" s="97"/>
      <c r="AJ30" s="97"/>
      <c r="AK30" s="97"/>
      <c r="AL30" s="97"/>
      <c r="AM30" s="97"/>
      <c r="AN30" s="97"/>
      <c r="AO30" s="97"/>
      <c r="AP30" s="97"/>
      <c r="AQ30" s="112"/>
      <c r="AR30" s="20"/>
      <c r="AS30" s="20"/>
      <c r="AT30" s="20"/>
      <c r="AU30" s="20"/>
      <c r="AV30" s="20"/>
      <c r="AW30" s="20"/>
      <c r="AX30" s="20"/>
      <c r="AY30" s="20"/>
      <c r="AZ30" s="20"/>
    </row>
    <row r="31" ht="37.5" customHeight="1">
      <c r="A31" s="89"/>
      <c r="B31" s="32"/>
      <c r="C31" s="32"/>
      <c r="D31" s="90"/>
      <c r="E31" s="98" t="s">
        <v>83</v>
      </c>
      <c r="F31" s="45"/>
      <c r="G31" s="45"/>
      <c r="H31" s="45"/>
      <c r="I31" s="96" t="s">
        <v>56</v>
      </c>
      <c r="J31" s="97" t="s">
        <v>51</v>
      </c>
      <c r="K31" s="97" t="s">
        <v>51</v>
      </c>
      <c r="L31" s="97" t="s">
        <v>51</v>
      </c>
      <c r="M31" s="97" t="s">
        <v>51</v>
      </c>
      <c r="N31" s="97" t="s">
        <v>51</v>
      </c>
      <c r="O31" s="97" t="s">
        <v>51</v>
      </c>
      <c r="P31" s="97" t="s">
        <v>51</v>
      </c>
      <c r="Q31" s="97" t="s">
        <v>51</v>
      </c>
      <c r="R31" s="97" t="s">
        <v>51</v>
      </c>
      <c r="S31" s="97" t="s">
        <v>51</v>
      </c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7"/>
      <c r="AL31" s="97"/>
      <c r="AM31" s="97"/>
      <c r="AN31" s="97"/>
      <c r="AO31" s="97"/>
      <c r="AP31" s="97"/>
      <c r="AQ31" s="112"/>
      <c r="AR31" s="20"/>
      <c r="AS31" s="20"/>
      <c r="AT31" s="20"/>
      <c r="AU31" s="20"/>
      <c r="AV31" s="20"/>
      <c r="AW31" s="20"/>
      <c r="AX31" s="20"/>
      <c r="AY31" s="20"/>
      <c r="AZ31" s="20"/>
    </row>
    <row r="32" ht="36.0" customHeight="1">
      <c r="A32" s="113"/>
      <c r="B32" s="114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/>
      <c r="S32" s="114"/>
      <c r="T32" s="114"/>
      <c r="U32" s="114"/>
      <c r="V32" s="114"/>
      <c r="W32" s="114"/>
      <c r="X32" s="114"/>
      <c r="Y32" s="114"/>
      <c r="Z32" s="114"/>
      <c r="AA32" s="114"/>
      <c r="AB32" s="114"/>
      <c r="AC32" s="114"/>
      <c r="AD32" s="114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14"/>
      <c r="AP32" s="114"/>
      <c r="AQ32" s="114"/>
      <c r="AR32" s="114"/>
      <c r="AS32" s="114"/>
      <c r="AT32" s="114"/>
      <c r="AU32" s="114"/>
      <c r="AV32" s="114"/>
      <c r="AW32" s="114"/>
      <c r="AX32" s="114"/>
      <c r="AY32" s="114"/>
      <c r="AZ32" s="114"/>
      <c r="BA32" s="114"/>
      <c r="BB32" s="114"/>
      <c r="BC32" s="114"/>
      <c r="BD32" s="114"/>
      <c r="BE32" s="114"/>
      <c r="BF32" s="114"/>
      <c r="BG32" s="114"/>
      <c r="BH32" s="114"/>
      <c r="BI32" s="114"/>
      <c r="BJ32" s="114"/>
    </row>
    <row r="33" ht="36.0" customHeight="1">
      <c r="A33" s="94" t="s">
        <v>84</v>
      </c>
      <c r="B33" s="70"/>
      <c r="C33" s="70"/>
      <c r="D33" s="71"/>
      <c r="E33" s="95" t="s">
        <v>85</v>
      </c>
      <c r="F33" s="45"/>
      <c r="G33" s="45"/>
      <c r="H33" s="45"/>
      <c r="I33" s="96" t="s">
        <v>50</v>
      </c>
      <c r="J33" s="97" t="s">
        <v>51</v>
      </c>
      <c r="K33" s="97" t="s">
        <v>51</v>
      </c>
      <c r="L33" s="97" t="s">
        <v>51</v>
      </c>
      <c r="M33" s="97" t="s">
        <v>51</v>
      </c>
      <c r="N33" s="97" t="s">
        <v>51</v>
      </c>
      <c r="O33" s="97" t="s">
        <v>51</v>
      </c>
      <c r="P33" s="97" t="s">
        <v>51</v>
      </c>
      <c r="Q33" s="97" t="s">
        <v>51</v>
      </c>
      <c r="R33" s="97" t="s">
        <v>51</v>
      </c>
      <c r="S33" s="97" t="s">
        <v>51</v>
      </c>
      <c r="T33" s="97"/>
      <c r="U33" s="97"/>
      <c r="V33" s="97"/>
      <c r="W33" s="97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7"/>
      <c r="AL33" s="97"/>
      <c r="AM33" s="97"/>
      <c r="AN33" s="97"/>
      <c r="AO33" s="97"/>
      <c r="AP33" s="97"/>
      <c r="AQ33" s="112"/>
      <c r="AR33" s="20"/>
      <c r="AS33" s="20"/>
      <c r="AT33" s="20"/>
      <c r="AU33" s="20"/>
      <c r="AV33" s="20"/>
      <c r="AW33" s="20"/>
      <c r="AX33" s="20"/>
      <c r="AY33" s="20"/>
      <c r="AZ33" s="20"/>
      <c r="BA33" s="104"/>
      <c r="BB33" s="104"/>
      <c r="BC33" s="104"/>
      <c r="BD33" s="104"/>
      <c r="BE33" s="104"/>
      <c r="BF33" s="104"/>
      <c r="BG33" s="104"/>
      <c r="BH33" s="104"/>
      <c r="BI33" s="104"/>
      <c r="BJ33" s="104"/>
    </row>
    <row r="34" ht="45.75" customHeight="1">
      <c r="A34" s="89"/>
      <c r="B34" s="32"/>
      <c r="C34" s="32"/>
      <c r="D34" s="90"/>
      <c r="E34" s="98" t="s">
        <v>86</v>
      </c>
      <c r="F34" s="45"/>
      <c r="G34" s="45"/>
      <c r="H34" s="45"/>
      <c r="I34" s="96" t="s">
        <v>56</v>
      </c>
      <c r="J34" s="97" t="s">
        <v>51</v>
      </c>
      <c r="K34" s="97" t="s">
        <v>51</v>
      </c>
      <c r="L34" s="97" t="s">
        <v>51</v>
      </c>
      <c r="M34" s="97" t="s">
        <v>51</v>
      </c>
      <c r="N34" s="97" t="s">
        <v>51</v>
      </c>
      <c r="O34" s="97" t="s">
        <v>51</v>
      </c>
      <c r="P34" s="97" t="s">
        <v>51</v>
      </c>
      <c r="Q34" s="97" t="s">
        <v>51</v>
      </c>
      <c r="R34" s="97" t="s">
        <v>51</v>
      </c>
      <c r="S34" s="97" t="s">
        <v>51</v>
      </c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7"/>
      <c r="AL34" s="97"/>
      <c r="AM34" s="97"/>
      <c r="AN34" s="97"/>
      <c r="AO34" s="97"/>
      <c r="AP34" s="97"/>
      <c r="AQ34" s="112"/>
      <c r="AR34" s="20"/>
      <c r="AS34" s="20"/>
      <c r="AT34" s="20"/>
      <c r="AU34" s="20"/>
      <c r="AV34" s="20"/>
      <c r="AW34" s="20"/>
      <c r="AX34" s="20"/>
      <c r="AY34" s="20"/>
      <c r="AZ34" s="20"/>
    </row>
    <row r="35" ht="45.0" customHeight="1">
      <c r="A35" s="94" t="s">
        <v>81</v>
      </c>
      <c r="B35" s="70"/>
      <c r="C35" s="70"/>
      <c r="D35" s="71"/>
      <c r="E35" s="95" t="s">
        <v>87</v>
      </c>
      <c r="F35" s="45"/>
      <c r="G35" s="45"/>
      <c r="H35" s="45"/>
      <c r="I35" s="96" t="s">
        <v>50</v>
      </c>
      <c r="J35" s="97" t="s">
        <v>51</v>
      </c>
      <c r="K35" s="97" t="s">
        <v>51</v>
      </c>
      <c r="L35" s="97" t="s">
        <v>51</v>
      </c>
      <c r="M35" s="97" t="s">
        <v>51</v>
      </c>
      <c r="N35" s="97" t="s">
        <v>51</v>
      </c>
      <c r="O35" s="97" t="s">
        <v>51</v>
      </c>
      <c r="P35" s="97" t="s">
        <v>51</v>
      </c>
      <c r="Q35" s="97" t="s">
        <v>51</v>
      </c>
      <c r="R35" s="97" t="s">
        <v>51</v>
      </c>
      <c r="S35" s="97" t="s">
        <v>51</v>
      </c>
      <c r="T35" s="97"/>
      <c r="U35" s="97"/>
      <c r="V35" s="97"/>
      <c r="W35" s="97"/>
      <c r="X35" s="97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7"/>
      <c r="AL35" s="97"/>
      <c r="AM35" s="97"/>
      <c r="AN35" s="97"/>
      <c r="AO35" s="97"/>
      <c r="AP35" s="97"/>
      <c r="AQ35" s="112"/>
      <c r="AR35" s="20"/>
      <c r="AS35" s="20"/>
      <c r="AT35" s="20"/>
      <c r="AU35" s="20"/>
      <c r="AV35" s="20"/>
      <c r="AW35" s="20"/>
      <c r="AX35" s="20"/>
      <c r="AY35" s="20"/>
      <c r="AZ35" s="20"/>
    </row>
    <row r="36" ht="38.25" customHeight="1">
      <c r="A36" s="89"/>
      <c r="B36" s="32"/>
      <c r="C36" s="32"/>
      <c r="D36" s="90"/>
      <c r="E36" s="98" t="s">
        <v>88</v>
      </c>
      <c r="F36" s="45"/>
      <c r="G36" s="45"/>
      <c r="H36" s="45"/>
      <c r="I36" s="96" t="s">
        <v>56</v>
      </c>
      <c r="J36" s="97" t="s">
        <v>51</v>
      </c>
      <c r="K36" s="97" t="s">
        <v>51</v>
      </c>
      <c r="L36" s="97" t="s">
        <v>51</v>
      </c>
      <c r="M36" s="97" t="s">
        <v>51</v>
      </c>
      <c r="N36" s="97" t="s">
        <v>51</v>
      </c>
      <c r="O36" s="97" t="s">
        <v>51</v>
      </c>
      <c r="P36" s="97" t="s">
        <v>51</v>
      </c>
      <c r="Q36" s="97" t="s">
        <v>51</v>
      </c>
      <c r="R36" s="97" t="s">
        <v>51</v>
      </c>
      <c r="S36" s="97" t="s">
        <v>51</v>
      </c>
      <c r="T36" s="97"/>
      <c r="U36" s="97"/>
      <c r="V36" s="97"/>
      <c r="W36" s="97"/>
      <c r="X36" s="97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7"/>
      <c r="AL36" s="97"/>
      <c r="AM36" s="97"/>
      <c r="AN36" s="97"/>
      <c r="AO36" s="97"/>
      <c r="AP36" s="97"/>
      <c r="AQ36" s="112"/>
      <c r="AR36" s="20"/>
      <c r="AS36" s="20"/>
      <c r="AT36" s="20"/>
      <c r="AU36" s="20"/>
      <c r="AV36" s="20"/>
      <c r="AW36" s="20"/>
      <c r="AX36" s="20"/>
      <c r="AY36" s="20"/>
      <c r="AZ36" s="20"/>
    </row>
    <row r="37" ht="39.0" customHeight="1">
      <c r="A37" s="94" t="s">
        <v>89</v>
      </c>
      <c r="B37" s="70"/>
      <c r="C37" s="70"/>
      <c r="D37" s="71"/>
      <c r="E37" s="95" t="s">
        <v>90</v>
      </c>
      <c r="F37" s="45"/>
      <c r="G37" s="45"/>
      <c r="H37" s="45"/>
      <c r="I37" s="96" t="s">
        <v>50</v>
      </c>
      <c r="J37" s="97" t="s">
        <v>51</v>
      </c>
      <c r="K37" s="97" t="s">
        <v>51</v>
      </c>
      <c r="L37" s="97" t="s">
        <v>51</v>
      </c>
      <c r="M37" s="97" t="s">
        <v>51</v>
      </c>
      <c r="N37" s="97" t="s">
        <v>51</v>
      </c>
      <c r="O37" s="97" t="s">
        <v>51</v>
      </c>
      <c r="P37" s="97" t="s">
        <v>51</v>
      </c>
      <c r="Q37" s="97" t="s">
        <v>51</v>
      </c>
      <c r="R37" s="97" t="s">
        <v>51</v>
      </c>
      <c r="S37" s="97" t="s">
        <v>51</v>
      </c>
      <c r="T37" s="97"/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97"/>
      <c r="AF37" s="97"/>
      <c r="AG37" s="97"/>
      <c r="AH37" s="97"/>
      <c r="AI37" s="97"/>
      <c r="AJ37" s="97"/>
      <c r="AK37" s="97"/>
      <c r="AL37" s="97"/>
      <c r="AM37" s="97"/>
      <c r="AN37" s="97"/>
      <c r="AO37" s="97"/>
      <c r="AP37" s="97"/>
      <c r="AQ37" s="112"/>
      <c r="AR37" s="20"/>
      <c r="AS37" s="20"/>
      <c r="AT37" s="20"/>
      <c r="AU37" s="20"/>
      <c r="AV37" s="20"/>
      <c r="AW37" s="20"/>
      <c r="AX37" s="20"/>
      <c r="AY37" s="20"/>
      <c r="AZ37" s="20"/>
    </row>
    <row r="38" ht="42.0" customHeight="1">
      <c r="A38" s="89"/>
      <c r="B38" s="32"/>
      <c r="C38" s="32"/>
      <c r="D38" s="90"/>
      <c r="E38" s="98" t="s">
        <v>91</v>
      </c>
      <c r="F38" s="45"/>
      <c r="G38" s="45"/>
      <c r="H38" s="45"/>
      <c r="I38" s="96" t="s">
        <v>56</v>
      </c>
      <c r="J38" s="97" t="s">
        <v>51</v>
      </c>
      <c r="K38" s="97" t="s">
        <v>51</v>
      </c>
      <c r="L38" s="97" t="s">
        <v>51</v>
      </c>
      <c r="M38" s="97" t="s">
        <v>51</v>
      </c>
      <c r="N38" s="97" t="s">
        <v>51</v>
      </c>
      <c r="O38" s="97" t="s">
        <v>51</v>
      </c>
      <c r="P38" s="97" t="s">
        <v>51</v>
      </c>
      <c r="Q38" s="97" t="s">
        <v>51</v>
      </c>
      <c r="R38" s="97" t="s">
        <v>51</v>
      </c>
      <c r="S38" s="97" t="s">
        <v>51</v>
      </c>
      <c r="T38" s="97"/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97"/>
      <c r="AF38" s="97"/>
      <c r="AG38" s="97"/>
      <c r="AH38" s="97"/>
      <c r="AI38" s="97"/>
      <c r="AJ38" s="97"/>
      <c r="AK38" s="97"/>
      <c r="AL38" s="97"/>
      <c r="AM38" s="97"/>
      <c r="AN38" s="97"/>
      <c r="AO38" s="97"/>
      <c r="AP38" s="97"/>
      <c r="AQ38" s="112"/>
      <c r="AR38" s="20"/>
      <c r="AS38" s="20"/>
      <c r="AT38" s="20"/>
      <c r="AU38" s="20"/>
      <c r="AV38" s="20"/>
      <c r="AW38" s="20"/>
      <c r="AX38" s="20"/>
      <c r="AY38" s="20"/>
      <c r="AZ38" s="20"/>
    </row>
    <row r="39" ht="42.75" customHeight="1">
      <c r="A39" s="94" t="s">
        <v>92</v>
      </c>
      <c r="B39" s="70"/>
      <c r="C39" s="70"/>
      <c r="D39" s="71"/>
      <c r="E39" s="95" t="s">
        <v>93</v>
      </c>
      <c r="F39" s="45"/>
      <c r="G39" s="45"/>
      <c r="H39" s="45"/>
      <c r="I39" s="96" t="s">
        <v>50</v>
      </c>
      <c r="J39" s="97" t="s">
        <v>51</v>
      </c>
      <c r="K39" s="97" t="s">
        <v>51</v>
      </c>
      <c r="L39" s="97" t="s">
        <v>51</v>
      </c>
      <c r="M39" s="97" t="s">
        <v>51</v>
      </c>
      <c r="N39" s="97" t="s">
        <v>51</v>
      </c>
      <c r="O39" s="97" t="s">
        <v>51</v>
      </c>
      <c r="P39" s="97" t="s">
        <v>51</v>
      </c>
      <c r="Q39" s="97" t="s">
        <v>51</v>
      </c>
      <c r="R39" s="97" t="s">
        <v>51</v>
      </c>
      <c r="S39" s="97" t="s">
        <v>51</v>
      </c>
      <c r="T39" s="97"/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  <c r="AJ39" s="97"/>
      <c r="AK39" s="97"/>
      <c r="AL39" s="97"/>
      <c r="AM39" s="97"/>
      <c r="AN39" s="97"/>
      <c r="AO39" s="97"/>
      <c r="AP39" s="97"/>
      <c r="AQ39" s="112"/>
      <c r="AR39" s="20"/>
      <c r="AS39" s="20"/>
      <c r="AT39" s="20"/>
      <c r="AU39" s="20"/>
      <c r="AV39" s="20"/>
      <c r="AW39" s="20"/>
      <c r="AX39" s="20"/>
      <c r="AY39" s="20"/>
      <c r="AZ39" s="20"/>
    </row>
    <row r="40" ht="42.75" customHeight="1">
      <c r="A40" s="89"/>
      <c r="B40" s="32"/>
      <c r="C40" s="32"/>
      <c r="D40" s="90"/>
      <c r="E40" s="98" t="s">
        <v>94</v>
      </c>
      <c r="F40" s="45"/>
      <c r="G40" s="45"/>
      <c r="H40" s="45"/>
      <c r="I40" s="96" t="s">
        <v>56</v>
      </c>
      <c r="J40" s="97" t="s">
        <v>51</v>
      </c>
      <c r="K40" s="97" t="s">
        <v>51</v>
      </c>
      <c r="L40" s="97" t="s">
        <v>51</v>
      </c>
      <c r="M40" s="97" t="s">
        <v>51</v>
      </c>
      <c r="N40" s="97" t="s">
        <v>51</v>
      </c>
      <c r="O40" s="97" t="s">
        <v>51</v>
      </c>
      <c r="P40" s="97" t="s">
        <v>51</v>
      </c>
      <c r="Q40" s="97" t="s">
        <v>51</v>
      </c>
      <c r="R40" s="97" t="s">
        <v>51</v>
      </c>
      <c r="S40" s="97" t="s">
        <v>51</v>
      </c>
      <c r="T40" s="97"/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7"/>
      <c r="AK40" s="97"/>
      <c r="AL40" s="97"/>
      <c r="AM40" s="97"/>
      <c r="AN40" s="97"/>
      <c r="AO40" s="97"/>
      <c r="AP40" s="97"/>
      <c r="AQ40" s="112"/>
      <c r="AR40" s="20"/>
      <c r="AS40" s="20"/>
      <c r="AT40" s="20"/>
      <c r="AU40" s="20"/>
      <c r="AV40" s="20"/>
      <c r="AW40" s="20"/>
      <c r="AX40" s="20"/>
      <c r="AY40" s="20"/>
      <c r="AZ40" s="20"/>
    </row>
    <row r="41">
      <c r="A41" s="118"/>
      <c r="B41" s="118"/>
      <c r="C41" s="118"/>
      <c r="D41" s="118"/>
      <c r="E41" s="119"/>
      <c r="F41" s="29"/>
      <c r="G41" s="29"/>
      <c r="H41" s="29"/>
      <c r="I41" s="77"/>
      <c r="J41" s="120"/>
      <c r="K41" s="120"/>
      <c r="L41" s="120"/>
      <c r="M41" s="120"/>
      <c r="N41" s="120"/>
      <c r="O41" s="120"/>
      <c r="P41" s="120"/>
      <c r="Q41" s="120"/>
      <c r="R41" s="120"/>
      <c r="S41" s="120"/>
      <c r="T41" s="120"/>
      <c r="U41" s="120"/>
      <c r="V41" s="120"/>
      <c r="W41" s="120"/>
      <c r="X41" s="120"/>
      <c r="Y41" s="120"/>
      <c r="Z41" s="120"/>
      <c r="AA41" s="120"/>
      <c r="AB41" s="120"/>
      <c r="AC41" s="120"/>
      <c r="AD41" s="120"/>
      <c r="AE41" s="120"/>
      <c r="AF41" s="120"/>
      <c r="AG41" s="120"/>
      <c r="AH41" s="120"/>
      <c r="AI41" s="120"/>
      <c r="AJ41" s="120"/>
      <c r="AK41" s="120"/>
      <c r="AL41" s="120"/>
      <c r="AM41" s="120"/>
      <c r="AN41" s="120"/>
      <c r="AO41" s="120"/>
      <c r="AP41" s="120"/>
      <c r="AQ41" s="112"/>
      <c r="AR41" s="20"/>
      <c r="AS41" s="20"/>
      <c r="AT41" s="20"/>
      <c r="AU41" s="20"/>
      <c r="AV41" s="20"/>
      <c r="AW41" s="20"/>
      <c r="AX41" s="20"/>
      <c r="AY41" s="20"/>
      <c r="AZ41" s="20"/>
    </row>
    <row r="42">
      <c r="A42" s="118"/>
      <c r="B42" s="118"/>
      <c r="C42" s="118"/>
      <c r="D42" s="118"/>
      <c r="E42" s="119"/>
      <c r="F42" s="29"/>
      <c r="G42" s="29"/>
      <c r="H42" s="29"/>
      <c r="I42" s="77"/>
      <c r="J42" s="120"/>
      <c r="K42" s="120"/>
      <c r="L42" s="120"/>
      <c r="M42" s="120"/>
      <c r="N42" s="120"/>
      <c r="O42" s="120"/>
      <c r="P42" s="120"/>
      <c r="Q42" s="120"/>
      <c r="R42" s="120"/>
      <c r="S42" s="120"/>
      <c r="T42" s="120"/>
      <c r="U42" s="120"/>
      <c r="V42" s="120"/>
      <c r="W42" s="120"/>
      <c r="X42" s="120"/>
      <c r="Y42" s="120"/>
      <c r="Z42" s="120"/>
      <c r="AA42" s="120"/>
      <c r="AB42" s="120"/>
      <c r="AC42" s="120"/>
      <c r="AD42" s="120"/>
      <c r="AE42" s="120"/>
      <c r="AF42" s="120"/>
      <c r="AG42" s="120"/>
      <c r="AH42" s="120"/>
      <c r="AI42" s="120"/>
      <c r="AJ42" s="120"/>
      <c r="AK42" s="120"/>
      <c r="AL42" s="120"/>
      <c r="AM42" s="120"/>
      <c r="AN42" s="120"/>
      <c r="AO42" s="120"/>
      <c r="AP42" s="120"/>
      <c r="AQ42" s="112"/>
      <c r="AR42" s="20"/>
      <c r="AS42" s="20"/>
      <c r="AT42" s="20"/>
      <c r="AU42" s="20"/>
      <c r="AV42" s="20"/>
      <c r="AW42" s="20"/>
      <c r="AX42" s="20"/>
      <c r="AY42" s="20"/>
      <c r="AZ42" s="20"/>
    </row>
    <row r="43" ht="12.0" customHeight="1">
      <c r="A43" s="121"/>
      <c r="B43" s="121"/>
      <c r="C43" s="121"/>
      <c r="D43" s="121"/>
      <c r="E43" s="121"/>
      <c r="F43" s="121"/>
      <c r="G43" s="121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20"/>
      <c r="AS43" s="20"/>
      <c r="AT43" s="20"/>
      <c r="AU43" s="20"/>
      <c r="AV43" s="20"/>
      <c r="AW43" s="20"/>
      <c r="AX43" s="20"/>
      <c r="AY43" s="20"/>
      <c r="AZ43" s="20"/>
    </row>
    <row r="44" ht="12.0" customHeight="1">
      <c r="A44" s="122" t="s">
        <v>95</v>
      </c>
      <c r="B44" s="70"/>
      <c r="C44" s="71"/>
      <c r="D44" s="121"/>
      <c r="E44" s="121"/>
      <c r="F44" s="121"/>
      <c r="G44" s="121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12"/>
      <c r="AR44" s="20"/>
      <c r="AS44" s="20"/>
      <c r="AT44" s="20"/>
      <c r="AU44" s="20"/>
      <c r="AV44" s="20"/>
      <c r="AW44" s="20"/>
      <c r="AX44" s="20"/>
      <c r="AY44" s="20"/>
      <c r="AZ44" s="20"/>
    </row>
    <row r="45" ht="12.0" customHeight="1">
      <c r="A45" s="123" t="s">
        <v>96</v>
      </c>
      <c r="C45" s="76"/>
      <c r="D45" s="121"/>
      <c r="E45" s="121"/>
      <c r="F45" s="121"/>
      <c r="G45" s="121"/>
      <c r="H45" s="121"/>
      <c r="I45" s="120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12"/>
      <c r="AR45" s="20"/>
      <c r="AS45" s="20"/>
      <c r="AT45" s="20"/>
      <c r="AU45" s="20"/>
      <c r="AV45" s="20"/>
      <c r="AW45" s="20"/>
      <c r="AX45" s="20"/>
      <c r="AY45" s="20"/>
      <c r="AZ45" s="20"/>
    </row>
    <row r="46" ht="12.0" customHeight="1">
      <c r="A46" s="124" t="s">
        <v>97</v>
      </c>
      <c r="C46" s="76"/>
      <c r="D46" s="121"/>
      <c r="E46" s="121"/>
      <c r="F46" s="121"/>
      <c r="G46" s="121"/>
      <c r="H46" s="121"/>
      <c r="I46" s="120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21"/>
      <c r="AH46" s="121"/>
      <c r="AI46" s="121"/>
      <c r="AJ46" s="121"/>
      <c r="AK46" s="121"/>
      <c r="AL46" s="121"/>
      <c r="AM46" s="121"/>
      <c r="AN46" s="121"/>
      <c r="AO46" s="121"/>
      <c r="AP46" s="121"/>
      <c r="AQ46" s="112"/>
      <c r="AR46" s="20"/>
      <c r="AS46" s="20"/>
      <c r="AT46" s="20"/>
      <c r="AU46" s="20"/>
      <c r="AV46" s="20"/>
      <c r="AW46" s="20"/>
      <c r="AX46" s="20"/>
      <c r="AY46" s="20"/>
      <c r="AZ46" s="20"/>
    </row>
    <row r="47" ht="12.0" customHeight="1">
      <c r="A47" s="124" t="s">
        <v>98</v>
      </c>
      <c r="C47" s="76"/>
      <c r="D47" s="121"/>
      <c r="E47" s="121"/>
      <c r="F47" s="121"/>
      <c r="G47" s="121"/>
      <c r="H47" s="121"/>
      <c r="I47" s="120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/>
      <c r="AC47" s="121"/>
      <c r="AD47" s="121"/>
      <c r="AE47" s="121"/>
      <c r="AF47" s="121"/>
      <c r="AG47" s="121"/>
      <c r="AH47" s="121"/>
      <c r="AI47" s="121"/>
      <c r="AJ47" s="121"/>
      <c r="AK47" s="121"/>
      <c r="AL47" s="121"/>
      <c r="AM47" s="121"/>
      <c r="AN47" s="121"/>
      <c r="AO47" s="121"/>
      <c r="AP47" s="121"/>
      <c r="AQ47" s="112"/>
      <c r="AR47" s="20"/>
      <c r="AS47" s="20"/>
      <c r="AT47" s="20"/>
      <c r="AU47" s="20"/>
      <c r="AV47" s="20"/>
      <c r="AW47" s="20"/>
      <c r="AX47" s="20"/>
      <c r="AY47" s="20"/>
      <c r="AZ47" s="20"/>
    </row>
    <row r="48" ht="12.0" customHeight="1">
      <c r="A48" s="125" t="s">
        <v>99</v>
      </c>
      <c r="B48" s="32"/>
      <c r="C48" s="90"/>
      <c r="D48" s="121"/>
      <c r="E48" s="121"/>
      <c r="F48" s="121"/>
      <c r="G48" s="121"/>
      <c r="H48" s="121"/>
      <c r="I48" s="120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  <c r="AF48" s="121"/>
      <c r="AG48" s="121"/>
      <c r="AH48" s="121"/>
      <c r="AI48" s="121"/>
      <c r="AJ48" s="121"/>
      <c r="AK48" s="121"/>
      <c r="AL48" s="121"/>
      <c r="AM48" s="121"/>
      <c r="AN48" s="121"/>
      <c r="AO48" s="121"/>
      <c r="AP48" s="121"/>
      <c r="AQ48" s="112"/>
      <c r="AR48" s="20"/>
      <c r="AS48" s="20"/>
      <c r="AT48" s="20"/>
      <c r="AU48" s="20"/>
      <c r="AV48" s="20"/>
      <c r="AW48" s="20"/>
      <c r="AX48" s="20"/>
      <c r="AY48" s="20"/>
      <c r="AZ48" s="20"/>
    </row>
    <row r="49" ht="12.0" customHeight="1">
      <c r="A49" s="121"/>
      <c r="B49" s="121"/>
      <c r="C49" s="121"/>
      <c r="D49" s="121"/>
      <c r="E49" s="121"/>
      <c r="F49" s="121"/>
      <c r="G49" s="121"/>
      <c r="H49" s="121"/>
      <c r="I49" s="120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21"/>
      <c r="AH49" s="121"/>
      <c r="AI49" s="121"/>
      <c r="AJ49" s="121"/>
      <c r="AK49" s="121"/>
      <c r="AL49" s="121"/>
      <c r="AM49" s="121"/>
      <c r="AN49" s="121"/>
      <c r="AO49" s="121"/>
      <c r="AP49" s="121"/>
      <c r="AQ49" s="112"/>
      <c r="AR49" s="20"/>
      <c r="AS49" s="20"/>
      <c r="AT49" s="20"/>
      <c r="AU49" s="20"/>
      <c r="AV49" s="20"/>
      <c r="AW49" s="20"/>
      <c r="AX49" s="20"/>
      <c r="AY49" s="20"/>
      <c r="AZ49" s="20"/>
    </row>
    <row r="50" ht="12.0" customHeight="1">
      <c r="A50" s="121"/>
      <c r="B50" s="121"/>
      <c r="C50" s="121"/>
      <c r="D50" s="121"/>
      <c r="E50" s="121"/>
      <c r="F50" s="121"/>
      <c r="G50" s="121"/>
      <c r="H50" s="121"/>
      <c r="I50" s="120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12"/>
      <c r="AR50" s="20"/>
      <c r="AS50" s="20"/>
      <c r="AT50" s="20"/>
      <c r="AU50" s="20"/>
      <c r="AV50" s="20"/>
      <c r="AW50" s="20"/>
      <c r="AX50" s="20"/>
      <c r="AY50" s="20"/>
      <c r="AZ50" s="20"/>
    </row>
    <row r="51" ht="12.0" customHeight="1">
      <c r="A51" s="112"/>
      <c r="B51" s="112"/>
      <c r="C51" s="112"/>
      <c r="D51" s="112"/>
      <c r="E51" s="112"/>
      <c r="F51" s="112"/>
      <c r="G51" s="112"/>
      <c r="H51" s="112"/>
      <c r="I51" s="126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  <c r="AN51" s="112"/>
      <c r="AO51" s="112"/>
      <c r="AP51" s="112"/>
      <c r="AQ51" s="112"/>
      <c r="AR51" s="20"/>
      <c r="AS51" s="20"/>
      <c r="AT51" s="20"/>
      <c r="AU51" s="20"/>
      <c r="AV51" s="20"/>
      <c r="AW51" s="20"/>
      <c r="AX51" s="20"/>
      <c r="AY51" s="20"/>
      <c r="AZ51" s="20"/>
    </row>
    <row r="52" ht="12.0" customHeight="1">
      <c r="A52" s="112"/>
      <c r="B52" s="112"/>
      <c r="C52" s="112"/>
      <c r="D52" s="112"/>
      <c r="E52" s="112"/>
      <c r="F52" s="112"/>
      <c r="G52" s="112"/>
      <c r="H52" s="112"/>
      <c r="I52" s="126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K52" s="112"/>
      <c r="AL52" s="112"/>
      <c r="AM52" s="112"/>
      <c r="AN52" s="112"/>
      <c r="AO52" s="112"/>
      <c r="AP52" s="112"/>
      <c r="AQ52" s="112"/>
      <c r="AR52" s="20"/>
      <c r="AS52" s="20"/>
      <c r="AT52" s="20"/>
      <c r="AU52" s="20"/>
      <c r="AV52" s="20"/>
      <c r="AW52" s="20"/>
      <c r="AX52" s="20"/>
      <c r="AY52" s="20"/>
      <c r="AZ52" s="20"/>
    </row>
    <row r="53" ht="12.0" customHeight="1">
      <c r="A53" s="112"/>
      <c r="B53" s="112"/>
      <c r="C53" s="112"/>
      <c r="D53" s="112"/>
      <c r="E53" s="112"/>
      <c r="F53" s="112"/>
      <c r="G53" s="112"/>
      <c r="H53" s="112"/>
      <c r="I53" s="126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  <c r="AN53" s="112"/>
      <c r="AO53" s="112"/>
      <c r="AP53" s="112"/>
      <c r="AQ53" s="112"/>
      <c r="AR53" s="20"/>
      <c r="AS53" s="20"/>
      <c r="AT53" s="20"/>
      <c r="AU53" s="20"/>
      <c r="AV53" s="20"/>
      <c r="AW53" s="20"/>
      <c r="AX53" s="20"/>
      <c r="AY53" s="20"/>
      <c r="AZ53" s="20"/>
    </row>
    <row r="54" ht="12.0" customHeight="1">
      <c r="A54" s="112"/>
      <c r="B54" s="112"/>
      <c r="C54" s="112"/>
      <c r="D54" s="112"/>
      <c r="E54" s="112"/>
      <c r="F54" s="112"/>
      <c r="G54" s="112"/>
      <c r="H54" s="112"/>
      <c r="I54" s="126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  <c r="AN54" s="112"/>
      <c r="AO54" s="112"/>
      <c r="AP54" s="112"/>
      <c r="AQ54" s="112"/>
      <c r="AR54" s="20"/>
      <c r="AS54" s="20"/>
      <c r="AT54" s="20"/>
      <c r="AU54" s="20"/>
      <c r="AV54" s="20"/>
      <c r="AW54" s="20"/>
      <c r="AX54" s="20"/>
      <c r="AY54" s="20"/>
      <c r="AZ54" s="20"/>
    </row>
    <row r="55" ht="12.0" customHeight="1">
      <c r="A55" s="112"/>
      <c r="B55" s="112"/>
      <c r="C55" s="112"/>
      <c r="D55" s="112"/>
      <c r="E55" s="112"/>
      <c r="F55" s="112"/>
      <c r="G55" s="112"/>
      <c r="H55" s="112"/>
      <c r="I55" s="126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  <c r="AL55" s="112"/>
      <c r="AM55" s="112"/>
      <c r="AN55" s="112"/>
      <c r="AO55" s="112"/>
      <c r="AP55" s="112"/>
      <c r="AQ55" s="112"/>
      <c r="AR55" s="20"/>
      <c r="AS55" s="20"/>
      <c r="AT55" s="20"/>
      <c r="AU55" s="20"/>
      <c r="AV55" s="20"/>
      <c r="AW55" s="20"/>
      <c r="AX55" s="20"/>
      <c r="AY55" s="20"/>
      <c r="AZ55" s="20"/>
    </row>
    <row r="56" ht="12.0" customHeight="1">
      <c r="A56" s="112"/>
      <c r="B56" s="112"/>
      <c r="C56" s="112"/>
      <c r="D56" s="112"/>
      <c r="E56" s="112"/>
      <c r="F56" s="112"/>
      <c r="G56" s="112"/>
      <c r="H56" s="112"/>
      <c r="I56" s="126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  <c r="AM56" s="112"/>
      <c r="AN56" s="112"/>
      <c r="AO56" s="112"/>
      <c r="AP56" s="112"/>
      <c r="AQ56" s="112"/>
      <c r="AR56" s="20"/>
      <c r="AS56" s="20"/>
      <c r="AT56" s="20"/>
      <c r="AU56" s="20"/>
      <c r="AV56" s="20"/>
      <c r="AW56" s="20"/>
      <c r="AX56" s="20"/>
      <c r="AY56" s="20"/>
      <c r="AZ56" s="20"/>
    </row>
    <row r="57" ht="12.0" customHeight="1">
      <c r="A57" s="112"/>
      <c r="B57" s="112"/>
      <c r="C57" s="112"/>
      <c r="D57" s="112"/>
      <c r="E57" s="112"/>
      <c r="F57" s="112"/>
      <c r="G57" s="112"/>
      <c r="H57" s="112"/>
      <c r="I57" s="126"/>
      <c r="J57" s="112"/>
      <c r="K57" s="112"/>
      <c r="L57" s="112"/>
      <c r="M57" s="112"/>
      <c r="N57" s="112"/>
      <c r="O57" s="112"/>
      <c r="P57" s="112"/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K57" s="112"/>
      <c r="AL57" s="112"/>
      <c r="AM57" s="112"/>
      <c r="AN57" s="112"/>
      <c r="AO57" s="112"/>
      <c r="AP57" s="112"/>
      <c r="AQ57" s="112"/>
      <c r="AR57" s="20"/>
      <c r="AS57" s="20"/>
      <c r="AT57" s="20"/>
      <c r="AU57" s="20"/>
      <c r="AV57" s="20"/>
      <c r="AW57" s="20"/>
      <c r="AX57" s="20"/>
      <c r="AY57" s="20"/>
      <c r="AZ57" s="20"/>
    </row>
    <row r="58" ht="12.0" customHeight="1">
      <c r="A58" s="112"/>
      <c r="B58" s="112"/>
      <c r="C58" s="112"/>
      <c r="D58" s="112"/>
      <c r="E58" s="112"/>
      <c r="F58" s="112"/>
      <c r="G58" s="112"/>
      <c r="H58" s="112"/>
      <c r="I58" s="126"/>
      <c r="J58" s="112"/>
      <c r="K58" s="112"/>
      <c r="L58" s="112"/>
      <c r="M58" s="112"/>
      <c r="N58" s="112"/>
      <c r="O58" s="112"/>
      <c r="P58" s="112"/>
      <c r="Q58" s="112"/>
      <c r="R58" s="112"/>
      <c r="S58" s="112"/>
      <c r="T58" s="112"/>
      <c r="U58" s="112"/>
      <c r="V58" s="112"/>
      <c r="W58" s="112"/>
      <c r="X58" s="112"/>
      <c r="Y58" s="112"/>
      <c r="Z58" s="112"/>
      <c r="AA58" s="112"/>
      <c r="AB58" s="112"/>
      <c r="AC58" s="112"/>
      <c r="AD58" s="112"/>
      <c r="AE58" s="112"/>
      <c r="AF58" s="112"/>
      <c r="AG58" s="112"/>
      <c r="AH58" s="112"/>
      <c r="AI58" s="112"/>
      <c r="AJ58" s="112"/>
      <c r="AK58" s="112"/>
      <c r="AL58" s="112"/>
      <c r="AM58" s="112"/>
      <c r="AN58" s="112"/>
      <c r="AO58" s="112"/>
      <c r="AP58" s="112"/>
      <c r="AQ58" s="112"/>
      <c r="AR58" s="20"/>
      <c r="AS58" s="20"/>
      <c r="AT58" s="20"/>
      <c r="AU58" s="20"/>
      <c r="AV58" s="20"/>
      <c r="AW58" s="20"/>
      <c r="AX58" s="20"/>
      <c r="AY58" s="20"/>
      <c r="AZ58" s="20"/>
    </row>
    <row r="59" ht="12.0" customHeight="1">
      <c r="A59" s="112"/>
      <c r="B59" s="112"/>
      <c r="C59" s="112"/>
      <c r="D59" s="112"/>
      <c r="E59" s="112"/>
      <c r="F59" s="112"/>
      <c r="G59" s="112"/>
      <c r="H59" s="112"/>
      <c r="I59" s="126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112"/>
      <c r="AJ59" s="112"/>
      <c r="AK59" s="112"/>
      <c r="AL59" s="112"/>
      <c r="AM59" s="112"/>
      <c r="AN59" s="112"/>
      <c r="AO59" s="112"/>
      <c r="AP59" s="112"/>
      <c r="AQ59" s="112"/>
      <c r="AR59" s="20"/>
      <c r="AS59" s="20"/>
      <c r="AT59" s="20"/>
      <c r="AU59" s="20"/>
      <c r="AV59" s="20"/>
      <c r="AW59" s="20"/>
      <c r="AX59" s="20"/>
      <c r="AY59" s="20"/>
      <c r="AZ59" s="20"/>
    </row>
    <row r="60" ht="12.0" customHeight="1">
      <c r="A60" s="112"/>
      <c r="B60" s="112"/>
      <c r="C60" s="112"/>
      <c r="D60" s="112"/>
      <c r="E60" s="112"/>
      <c r="F60" s="112"/>
      <c r="G60" s="112"/>
      <c r="H60" s="112"/>
      <c r="I60" s="126"/>
      <c r="J60" s="112"/>
      <c r="K60" s="112"/>
      <c r="L60" s="112"/>
      <c r="M60" s="112"/>
      <c r="N60" s="112"/>
      <c r="O60" s="112"/>
      <c r="P60" s="112"/>
      <c r="Q60" s="112"/>
      <c r="R60" s="112"/>
      <c r="S60" s="112"/>
      <c r="T60" s="112"/>
      <c r="U60" s="112"/>
      <c r="V60" s="112"/>
      <c r="W60" s="112"/>
      <c r="X60" s="112"/>
      <c r="Y60" s="112"/>
      <c r="Z60" s="112"/>
      <c r="AA60" s="112"/>
      <c r="AB60" s="112"/>
      <c r="AC60" s="112"/>
      <c r="AD60" s="112"/>
      <c r="AE60" s="112"/>
      <c r="AF60" s="112"/>
      <c r="AG60" s="112"/>
      <c r="AH60" s="112"/>
      <c r="AI60" s="112"/>
      <c r="AJ60" s="112"/>
      <c r="AK60" s="112"/>
      <c r="AL60" s="112"/>
      <c r="AM60" s="112"/>
      <c r="AN60" s="112"/>
      <c r="AO60" s="112"/>
      <c r="AP60" s="112"/>
      <c r="AQ60" s="112"/>
      <c r="AR60" s="20"/>
      <c r="AS60" s="20"/>
      <c r="AT60" s="20"/>
      <c r="AU60" s="20"/>
      <c r="AV60" s="20"/>
      <c r="AW60" s="20"/>
      <c r="AX60" s="20"/>
      <c r="AY60" s="20"/>
      <c r="AZ60" s="20"/>
    </row>
    <row r="61" ht="12.0" customHeight="1">
      <c r="A61" s="112"/>
      <c r="B61" s="112"/>
      <c r="C61" s="112"/>
      <c r="D61" s="112"/>
      <c r="E61" s="112"/>
      <c r="F61" s="112"/>
      <c r="G61" s="112"/>
      <c r="H61" s="112"/>
      <c r="I61" s="126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  <c r="AC61" s="112"/>
      <c r="AD61" s="112"/>
      <c r="AE61" s="112"/>
      <c r="AF61" s="112"/>
      <c r="AG61" s="112"/>
      <c r="AH61" s="112"/>
      <c r="AI61" s="112"/>
      <c r="AJ61" s="112"/>
      <c r="AK61" s="112"/>
      <c r="AL61" s="112"/>
      <c r="AM61" s="112"/>
      <c r="AN61" s="112"/>
      <c r="AO61" s="112"/>
      <c r="AP61" s="112"/>
      <c r="AQ61" s="112"/>
      <c r="AR61" s="20"/>
      <c r="AS61" s="20"/>
      <c r="AT61" s="20"/>
      <c r="AU61" s="20"/>
      <c r="AV61" s="20"/>
      <c r="AW61" s="20"/>
      <c r="AX61" s="20"/>
      <c r="AY61" s="20"/>
      <c r="AZ61" s="20"/>
    </row>
    <row r="62" ht="12.0" customHeight="1">
      <c r="A62" s="112"/>
      <c r="B62" s="112"/>
      <c r="C62" s="112"/>
      <c r="D62" s="112"/>
      <c r="E62" s="112"/>
      <c r="F62" s="112"/>
      <c r="G62" s="112"/>
      <c r="H62" s="112"/>
      <c r="I62" s="126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  <c r="AC62" s="112"/>
      <c r="AD62" s="112"/>
      <c r="AE62" s="112"/>
      <c r="AF62" s="112"/>
      <c r="AG62" s="112"/>
      <c r="AH62" s="112"/>
      <c r="AI62" s="112"/>
      <c r="AJ62" s="112"/>
      <c r="AK62" s="112"/>
      <c r="AL62" s="112"/>
      <c r="AM62" s="112"/>
      <c r="AN62" s="112"/>
      <c r="AO62" s="112"/>
      <c r="AP62" s="112"/>
      <c r="AQ62" s="112"/>
      <c r="AR62" s="20"/>
      <c r="AS62" s="20"/>
      <c r="AT62" s="20"/>
      <c r="AU62" s="20"/>
      <c r="AV62" s="20"/>
      <c r="AW62" s="20"/>
      <c r="AX62" s="20"/>
      <c r="AY62" s="20"/>
      <c r="AZ62" s="20"/>
    </row>
    <row r="63" ht="12.0" customHeight="1">
      <c r="A63" s="112"/>
      <c r="B63" s="112"/>
      <c r="C63" s="112"/>
      <c r="D63" s="112"/>
      <c r="E63" s="112"/>
      <c r="F63" s="112"/>
      <c r="G63" s="112"/>
      <c r="H63" s="112"/>
      <c r="I63" s="126"/>
      <c r="J63" s="112"/>
      <c r="K63" s="112"/>
      <c r="L63" s="112"/>
      <c r="M63" s="112"/>
      <c r="N63" s="112"/>
      <c r="O63" s="112"/>
      <c r="P63" s="112"/>
      <c r="Q63" s="112"/>
      <c r="R63" s="112"/>
      <c r="S63" s="112"/>
      <c r="T63" s="112"/>
      <c r="U63" s="112"/>
      <c r="V63" s="112"/>
      <c r="W63" s="112"/>
      <c r="X63" s="112"/>
      <c r="Y63" s="112"/>
      <c r="Z63" s="112"/>
      <c r="AA63" s="112"/>
      <c r="AB63" s="112"/>
      <c r="AC63" s="112"/>
      <c r="AD63" s="112"/>
      <c r="AE63" s="112"/>
      <c r="AF63" s="112"/>
      <c r="AG63" s="112"/>
      <c r="AH63" s="112"/>
      <c r="AI63" s="112"/>
      <c r="AJ63" s="112"/>
      <c r="AK63" s="112"/>
      <c r="AL63" s="112"/>
      <c r="AM63" s="112"/>
      <c r="AN63" s="112"/>
      <c r="AO63" s="112"/>
      <c r="AP63" s="112"/>
      <c r="AQ63" s="112"/>
      <c r="AR63" s="20"/>
      <c r="AS63" s="20"/>
      <c r="AT63" s="20"/>
      <c r="AU63" s="20"/>
      <c r="AV63" s="20"/>
      <c r="AW63" s="20"/>
      <c r="AX63" s="20"/>
      <c r="AY63" s="20"/>
      <c r="AZ63" s="20"/>
    </row>
    <row r="64" ht="12.0" customHeight="1">
      <c r="A64" s="112"/>
      <c r="B64" s="112"/>
      <c r="C64" s="112"/>
      <c r="D64" s="112"/>
      <c r="E64" s="112"/>
      <c r="F64" s="112"/>
      <c r="G64" s="112"/>
      <c r="H64" s="112"/>
      <c r="I64" s="126"/>
      <c r="J64" s="112"/>
      <c r="K64" s="112"/>
      <c r="L64" s="112"/>
      <c r="M64" s="112"/>
      <c r="N64" s="112"/>
      <c r="O64" s="112"/>
      <c r="P64" s="112"/>
      <c r="Q64" s="112"/>
      <c r="R64" s="112"/>
      <c r="S64" s="112"/>
      <c r="T64" s="112"/>
      <c r="U64" s="112"/>
      <c r="V64" s="112"/>
      <c r="W64" s="112"/>
      <c r="X64" s="112"/>
      <c r="Y64" s="112"/>
      <c r="Z64" s="112"/>
      <c r="AA64" s="112"/>
      <c r="AB64" s="112"/>
      <c r="AC64" s="112"/>
      <c r="AD64" s="112"/>
      <c r="AE64" s="112"/>
      <c r="AF64" s="112"/>
      <c r="AG64" s="112"/>
      <c r="AH64" s="112"/>
      <c r="AI64" s="112"/>
      <c r="AJ64" s="112"/>
      <c r="AK64" s="112"/>
      <c r="AL64" s="112"/>
      <c r="AM64" s="112"/>
      <c r="AN64" s="112"/>
      <c r="AO64" s="112"/>
      <c r="AP64" s="112"/>
      <c r="AQ64" s="112"/>
      <c r="AS64" s="20"/>
      <c r="AT64" s="20"/>
      <c r="AU64" s="20"/>
      <c r="AV64" s="20"/>
      <c r="AW64" s="20"/>
      <c r="AX64" s="20"/>
      <c r="AY64" s="20"/>
      <c r="AZ64" s="20"/>
    </row>
    <row r="65" ht="12.0" customHeight="1">
      <c r="A65" s="112"/>
      <c r="B65" s="112"/>
      <c r="C65" s="112"/>
      <c r="D65" s="112"/>
      <c r="E65" s="112"/>
      <c r="F65" s="112"/>
      <c r="G65" s="112"/>
      <c r="H65" s="112"/>
      <c r="I65" s="126"/>
      <c r="J65" s="112"/>
      <c r="K65" s="112"/>
      <c r="L65" s="112"/>
      <c r="M65" s="112"/>
      <c r="N65" s="112"/>
      <c r="O65" s="112"/>
      <c r="P65" s="112"/>
      <c r="Q65" s="112"/>
      <c r="R65" s="112"/>
      <c r="S65" s="112"/>
      <c r="T65" s="112"/>
      <c r="U65" s="112"/>
      <c r="V65" s="112"/>
      <c r="W65" s="11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I65" s="112"/>
      <c r="AJ65" s="112"/>
      <c r="AK65" s="112"/>
      <c r="AL65" s="112"/>
      <c r="AM65" s="112"/>
      <c r="AN65" s="112"/>
      <c r="AO65" s="112"/>
      <c r="AP65" s="112"/>
      <c r="AQ65" s="112"/>
      <c r="AS65" s="20"/>
      <c r="AT65" s="20"/>
      <c r="AU65" s="20"/>
      <c r="AV65" s="20"/>
      <c r="AW65" s="20"/>
      <c r="AX65" s="20"/>
      <c r="AY65" s="20"/>
      <c r="AZ65" s="20"/>
    </row>
    <row r="66" ht="12.0" customHeight="1">
      <c r="A66" s="112"/>
      <c r="B66" s="112"/>
      <c r="C66" s="112"/>
      <c r="D66" s="112"/>
      <c r="E66" s="112"/>
      <c r="F66" s="112"/>
      <c r="G66" s="112"/>
      <c r="H66" s="112"/>
      <c r="I66" s="126"/>
      <c r="J66" s="112"/>
      <c r="K66" s="112"/>
      <c r="L66" s="112"/>
      <c r="M66" s="112"/>
      <c r="N66" s="112"/>
      <c r="O66" s="112"/>
      <c r="P66" s="112"/>
      <c r="Q66" s="112"/>
      <c r="R66" s="112"/>
      <c r="S66" s="112"/>
      <c r="T66" s="112"/>
      <c r="U66" s="112"/>
      <c r="V66" s="112"/>
      <c r="W66" s="112"/>
      <c r="X66" s="112"/>
      <c r="Y66" s="112"/>
      <c r="Z66" s="112"/>
      <c r="AA66" s="112"/>
      <c r="AB66" s="112"/>
      <c r="AC66" s="112"/>
      <c r="AD66" s="112"/>
      <c r="AE66" s="112"/>
      <c r="AF66" s="112"/>
      <c r="AG66" s="112"/>
      <c r="AH66" s="112"/>
      <c r="AI66" s="112"/>
      <c r="AJ66" s="112"/>
      <c r="AK66" s="112"/>
      <c r="AL66" s="112"/>
      <c r="AM66" s="112"/>
      <c r="AN66" s="112"/>
      <c r="AO66" s="112"/>
      <c r="AP66" s="112"/>
      <c r="AQ66" s="112"/>
      <c r="AS66" s="20"/>
      <c r="AT66" s="20"/>
      <c r="AU66" s="20"/>
      <c r="AV66" s="20"/>
      <c r="AW66" s="20"/>
      <c r="AX66" s="20"/>
      <c r="AY66" s="20"/>
      <c r="AZ66" s="20"/>
    </row>
    <row r="67" ht="12.0" customHeight="1">
      <c r="A67" s="112"/>
      <c r="B67" s="112"/>
      <c r="C67" s="112"/>
      <c r="D67" s="112"/>
      <c r="E67" s="112"/>
      <c r="F67" s="112"/>
      <c r="G67" s="112"/>
      <c r="H67" s="112"/>
      <c r="I67" s="126"/>
      <c r="J67" s="112"/>
      <c r="K67" s="112"/>
      <c r="L67" s="112"/>
      <c r="M67" s="112"/>
      <c r="N67" s="112"/>
      <c r="O67" s="112"/>
      <c r="P67" s="112"/>
      <c r="Q67" s="112"/>
      <c r="R67" s="112"/>
      <c r="S67" s="112"/>
      <c r="T67" s="112"/>
      <c r="U67" s="112"/>
      <c r="V67" s="112"/>
      <c r="W67" s="112"/>
      <c r="X67" s="112"/>
      <c r="Y67" s="112"/>
      <c r="Z67" s="112"/>
      <c r="AA67" s="112"/>
      <c r="AB67" s="112"/>
      <c r="AC67" s="112"/>
      <c r="AD67" s="112"/>
      <c r="AE67" s="112"/>
      <c r="AF67" s="112"/>
      <c r="AG67" s="112"/>
      <c r="AH67" s="112"/>
      <c r="AI67" s="112"/>
      <c r="AJ67" s="112"/>
      <c r="AK67" s="112"/>
      <c r="AL67" s="112"/>
      <c r="AM67" s="112"/>
      <c r="AN67" s="112"/>
      <c r="AO67" s="112"/>
      <c r="AP67" s="112"/>
      <c r="AQ67" s="112"/>
      <c r="AS67" s="20"/>
      <c r="AT67" s="20"/>
      <c r="AU67" s="20"/>
      <c r="AV67" s="20"/>
      <c r="AW67" s="20"/>
      <c r="AX67" s="20"/>
      <c r="AY67" s="20"/>
      <c r="AZ67" s="20"/>
    </row>
    <row r="68" ht="12.0" customHeight="1">
      <c r="A68" s="112"/>
      <c r="B68" s="112"/>
      <c r="C68" s="112"/>
      <c r="D68" s="112"/>
      <c r="E68" s="112"/>
      <c r="F68" s="112"/>
      <c r="G68" s="112"/>
      <c r="H68" s="112"/>
      <c r="I68" s="126"/>
      <c r="J68" s="112"/>
      <c r="K68" s="112"/>
      <c r="L68" s="112"/>
      <c r="M68" s="112"/>
      <c r="N68" s="112"/>
      <c r="O68" s="112"/>
      <c r="P68" s="112"/>
      <c r="Q68" s="112"/>
      <c r="R68" s="112"/>
      <c r="S68" s="112"/>
      <c r="T68" s="112"/>
      <c r="U68" s="112"/>
      <c r="V68" s="112"/>
      <c r="W68" s="112"/>
      <c r="X68" s="112"/>
      <c r="Y68" s="112"/>
      <c r="Z68" s="112"/>
      <c r="AA68" s="112"/>
      <c r="AB68" s="112"/>
      <c r="AC68" s="112"/>
      <c r="AD68" s="112"/>
      <c r="AE68" s="112"/>
      <c r="AF68" s="112"/>
      <c r="AG68" s="112"/>
      <c r="AH68" s="112"/>
      <c r="AI68" s="112"/>
      <c r="AJ68" s="112"/>
      <c r="AK68" s="112"/>
      <c r="AL68" s="112"/>
      <c r="AM68" s="112"/>
      <c r="AN68" s="112"/>
      <c r="AO68" s="112"/>
      <c r="AP68" s="112"/>
      <c r="AQ68" s="112"/>
      <c r="AS68" s="20"/>
      <c r="AT68" s="20"/>
      <c r="AU68" s="20"/>
      <c r="AV68" s="20"/>
      <c r="AW68" s="20"/>
      <c r="AX68" s="20"/>
      <c r="AY68" s="20"/>
      <c r="AZ68" s="20"/>
    </row>
    <row r="69" ht="12.0" customHeight="1">
      <c r="A69" s="112"/>
      <c r="B69" s="112"/>
      <c r="C69" s="112"/>
      <c r="D69" s="112"/>
      <c r="E69" s="112"/>
      <c r="F69" s="112"/>
      <c r="G69" s="112"/>
      <c r="H69" s="112"/>
      <c r="I69" s="126"/>
      <c r="J69" s="112"/>
      <c r="K69" s="112"/>
      <c r="L69" s="112"/>
      <c r="M69" s="112"/>
      <c r="N69" s="112"/>
      <c r="O69" s="112"/>
      <c r="P69" s="112"/>
      <c r="Q69" s="112"/>
      <c r="R69" s="112"/>
      <c r="S69" s="112"/>
      <c r="T69" s="112"/>
      <c r="U69" s="112"/>
      <c r="V69" s="112"/>
      <c r="W69" s="112"/>
      <c r="X69" s="112"/>
      <c r="Y69" s="112"/>
      <c r="Z69" s="112"/>
      <c r="AA69" s="112"/>
      <c r="AB69" s="112"/>
      <c r="AC69" s="112"/>
      <c r="AD69" s="112"/>
      <c r="AE69" s="112"/>
      <c r="AF69" s="112"/>
      <c r="AG69" s="112"/>
      <c r="AH69" s="112"/>
      <c r="AI69" s="112"/>
      <c r="AJ69" s="112"/>
      <c r="AK69" s="112"/>
      <c r="AL69" s="112"/>
      <c r="AM69" s="112"/>
      <c r="AN69" s="112"/>
      <c r="AO69" s="112"/>
      <c r="AP69" s="112"/>
      <c r="AQ69" s="112"/>
      <c r="AS69" s="20"/>
      <c r="AT69" s="20"/>
      <c r="AU69" s="20"/>
      <c r="AV69" s="20"/>
      <c r="AW69" s="20"/>
      <c r="AX69" s="20"/>
      <c r="AY69" s="20"/>
      <c r="AZ69" s="20"/>
    </row>
    <row r="70" ht="12.0" customHeight="1">
      <c r="A70" s="112"/>
      <c r="B70" s="112"/>
      <c r="C70" s="112"/>
      <c r="D70" s="112"/>
      <c r="E70" s="112"/>
      <c r="F70" s="112"/>
      <c r="G70" s="112"/>
      <c r="H70" s="112"/>
      <c r="I70" s="126"/>
      <c r="J70" s="112"/>
      <c r="K70" s="112"/>
      <c r="L70" s="112"/>
      <c r="M70" s="112"/>
      <c r="N70" s="112"/>
      <c r="O70" s="112"/>
      <c r="P70" s="112"/>
      <c r="Q70" s="112"/>
      <c r="R70" s="112"/>
      <c r="S70" s="112"/>
      <c r="T70" s="112"/>
      <c r="U70" s="112"/>
      <c r="V70" s="112"/>
      <c r="W70" s="112"/>
      <c r="X70" s="112"/>
      <c r="Y70" s="112"/>
      <c r="Z70" s="112"/>
      <c r="AA70" s="112"/>
      <c r="AB70" s="112"/>
      <c r="AC70" s="112"/>
      <c r="AD70" s="112"/>
      <c r="AE70" s="112"/>
      <c r="AF70" s="112"/>
      <c r="AG70" s="112"/>
      <c r="AH70" s="112"/>
      <c r="AI70" s="112"/>
      <c r="AJ70" s="112"/>
      <c r="AK70" s="112"/>
      <c r="AL70" s="112"/>
      <c r="AM70" s="112"/>
      <c r="AN70" s="112"/>
      <c r="AO70" s="112"/>
      <c r="AP70" s="112"/>
      <c r="AQ70" s="112"/>
      <c r="AS70" s="20"/>
      <c r="AT70" s="20"/>
      <c r="AU70" s="20"/>
      <c r="AV70" s="20"/>
      <c r="AW70" s="20"/>
      <c r="AX70" s="20"/>
      <c r="AY70" s="20"/>
      <c r="AZ70" s="20"/>
    </row>
    <row r="71" ht="12.0" customHeight="1">
      <c r="A71" s="112"/>
      <c r="B71" s="112"/>
      <c r="C71" s="112"/>
      <c r="D71" s="112"/>
      <c r="E71" s="112"/>
      <c r="F71" s="112"/>
      <c r="G71" s="112"/>
      <c r="H71" s="112"/>
      <c r="I71" s="126"/>
      <c r="J71" s="112"/>
      <c r="K71" s="112"/>
      <c r="L71" s="112"/>
      <c r="M71" s="112"/>
      <c r="N71" s="112"/>
      <c r="O71" s="112"/>
      <c r="P71" s="112"/>
      <c r="Q71" s="112"/>
      <c r="R71" s="112"/>
      <c r="S71" s="112"/>
      <c r="T71" s="112"/>
      <c r="U71" s="112"/>
      <c r="V71" s="112"/>
      <c r="W71" s="112"/>
      <c r="X71" s="112"/>
      <c r="Y71" s="112"/>
      <c r="Z71" s="112"/>
      <c r="AA71" s="112"/>
      <c r="AB71" s="112"/>
      <c r="AC71" s="112"/>
      <c r="AD71" s="112"/>
      <c r="AE71" s="112"/>
      <c r="AF71" s="112"/>
      <c r="AG71" s="112"/>
      <c r="AH71" s="112"/>
      <c r="AI71" s="112"/>
      <c r="AJ71" s="112"/>
      <c r="AK71" s="112"/>
      <c r="AL71" s="112"/>
      <c r="AM71" s="112"/>
      <c r="AN71" s="112"/>
      <c r="AO71" s="112"/>
      <c r="AP71" s="112"/>
      <c r="AQ71" s="112"/>
      <c r="AS71" s="20"/>
      <c r="AT71" s="20"/>
      <c r="AU71" s="20"/>
      <c r="AV71" s="20"/>
      <c r="AW71" s="20"/>
      <c r="AX71" s="20"/>
      <c r="AY71" s="20"/>
      <c r="AZ71" s="20"/>
    </row>
    <row r="72" ht="12.0" customHeight="1">
      <c r="A72" s="112"/>
      <c r="B72" s="112"/>
      <c r="C72" s="112"/>
      <c r="D72" s="112"/>
      <c r="E72" s="112"/>
      <c r="F72" s="112"/>
      <c r="G72" s="112"/>
      <c r="H72" s="112"/>
      <c r="I72" s="126"/>
      <c r="J72" s="112"/>
      <c r="K72" s="112"/>
      <c r="L72" s="112"/>
      <c r="M72" s="112"/>
      <c r="N72" s="112"/>
      <c r="O72" s="112"/>
      <c r="P72" s="112"/>
      <c r="Q72" s="112"/>
      <c r="R72" s="112"/>
      <c r="S72" s="112"/>
      <c r="T72" s="112"/>
      <c r="U72" s="112"/>
      <c r="V72" s="112"/>
      <c r="W72" s="112"/>
      <c r="X72" s="112"/>
      <c r="Y72" s="112"/>
      <c r="Z72" s="112"/>
      <c r="AA72" s="112"/>
      <c r="AB72" s="112"/>
      <c r="AC72" s="112"/>
      <c r="AD72" s="112"/>
      <c r="AE72" s="112"/>
      <c r="AF72" s="112"/>
      <c r="AG72" s="112"/>
      <c r="AH72" s="112"/>
      <c r="AI72" s="112"/>
      <c r="AJ72" s="112"/>
      <c r="AK72" s="112"/>
      <c r="AL72" s="112"/>
      <c r="AM72" s="112"/>
      <c r="AN72" s="112"/>
      <c r="AO72" s="112"/>
      <c r="AP72" s="112"/>
      <c r="AQ72" s="112"/>
      <c r="AS72" s="20"/>
      <c r="AT72" s="20"/>
      <c r="AU72" s="20"/>
      <c r="AV72" s="20"/>
      <c r="AW72" s="20"/>
      <c r="AX72" s="20"/>
      <c r="AY72" s="20"/>
      <c r="AZ72" s="20"/>
    </row>
    <row r="73" ht="12.0" customHeight="1">
      <c r="A73" s="112"/>
      <c r="B73" s="112"/>
      <c r="C73" s="112"/>
      <c r="D73" s="112"/>
      <c r="E73" s="112"/>
      <c r="F73" s="112"/>
      <c r="G73" s="112"/>
      <c r="H73" s="112"/>
      <c r="I73" s="126"/>
      <c r="J73" s="112"/>
      <c r="K73" s="112"/>
      <c r="L73" s="112"/>
      <c r="M73" s="112"/>
      <c r="N73" s="112"/>
      <c r="O73" s="112"/>
      <c r="P73" s="112"/>
      <c r="Q73" s="112"/>
      <c r="R73" s="112"/>
      <c r="S73" s="112"/>
      <c r="T73" s="112"/>
      <c r="U73" s="112"/>
      <c r="V73" s="112"/>
      <c r="W73" s="112"/>
      <c r="X73" s="112"/>
      <c r="Y73" s="112"/>
      <c r="Z73" s="112"/>
      <c r="AA73" s="112"/>
      <c r="AB73" s="112"/>
      <c r="AC73" s="112"/>
      <c r="AD73" s="112"/>
      <c r="AE73" s="112"/>
      <c r="AF73" s="112"/>
      <c r="AG73" s="112"/>
      <c r="AH73" s="112"/>
      <c r="AI73" s="112"/>
      <c r="AJ73" s="112"/>
      <c r="AK73" s="112"/>
      <c r="AL73" s="112"/>
      <c r="AM73" s="112"/>
      <c r="AN73" s="112"/>
      <c r="AO73" s="112"/>
      <c r="AP73" s="112"/>
      <c r="AQ73" s="112"/>
      <c r="AS73" s="20"/>
      <c r="AT73" s="20"/>
      <c r="AU73" s="20"/>
      <c r="AV73" s="20"/>
      <c r="AW73" s="20"/>
      <c r="AX73" s="20"/>
      <c r="AY73" s="20"/>
      <c r="AZ73" s="20"/>
    </row>
    <row r="74" ht="12.0" customHeight="1">
      <c r="A74" s="112"/>
      <c r="B74" s="112"/>
      <c r="C74" s="112"/>
      <c r="D74" s="112"/>
      <c r="E74" s="112"/>
      <c r="F74" s="112"/>
      <c r="G74" s="112"/>
      <c r="H74" s="112"/>
      <c r="I74" s="126"/>
      <c r="J74" s="112"/>
      <c r="K74" s="112"/>
      <c r="L74" s="112"/>
      <c r="M74" s="112"/>
      <c r="N74" s="112"/>
      <c r="O74" s="112"/>
      <c r="P74" s="112"/>
      <c r="Q74" s="112"/>
      <c r="R74" s="112"/>
      <c r="S74" s="112"/>
      <c r="T74" s="112"/>
      <c r="U74" s="112"/>
      <c r="V74" s="112"/>
      <c r="W74" s="112"/>
      <c r="X74" s="112"/>
      <c r="Y74" s="112"/>
      <c r="Z74" s="112"/>
      <c r="AA74" s="112"/>
      <c r="AB74" s="112"/>
      <c r="AC74" s="112"/>
      <c r="AD74" s="112"/>
      <c r="AE74" s="112"/>
      <c r="AF74" s="112"/>
      <c r="AG74" s="112"/>
      <c r="AH74" s="112"/>
      <c r="AI74" s="112"/>
      <c r="AJ74" s="112"/>
      <c r="AK74" s="112"/>
      <c r="AL74" s="112"/>
      <c r="AM74" s="112"/>
      <c r="AN74" s="112"/>
      <c r="AO74" s="112"/>
      <c r="AP74" s="112"/>
      <c r="AQ74" s="112"/>
      <c r="AS74" s="20"/>
      <c r="AT74" s="20"/>
      <c r="AU74" s="20"/>
      <c r="AV74" s="20"/>
      <c r="AW74" s="20"/>
      <c r="AX74" s="20"/>
      <c r="AY74" s="20"/>
      <c r="AZ74" s="20"/>
    </row>
    <row r="75" ht="12.0" customHeight="1">
      <c r="A75" s="112"/>
      <c r="B75" s="112"/>
      <c r="C75" s="112"/>
      <c r="D75" s="112"/>
      <c r="E75" s="112"/>
      <c r="F75" s="112"/>
      <c r="G75" s="112"/>
      <c r="H75" s="112"/>
      <c r="I75" s="126"/>
      <c r="J75" s="112"/>
      <c r="K75" s="112"/>
      <c r="L75" s="112"/>
      <c r="M75" s="112"/>
      <c r="N75" s="112"/>
      <c r="O75" s="112"/>
      <c r="P75" s="112"/>
      <c r="Q75" s="112"/>
      <c r="R75" s="112"/>
      <c r="S75" s="112"/>
      <c r="T75" s="112"/>
      <c r="U75" s="112"/>
      <c r="V75" s="112"/>
      <c r="W75" s="112"/>
      <c r="X75" s="112"/>
      <c r="Y75" s="112"/>
      <c r="Z75" s="112"/>
      <c r="AA75" s="112"/>
      <c r="AB75" s="112"/>
      <c r="AC75" s="112"/>
      <c r="AD75" s="112"/>
      <c r="AE75" s="112"/>
      <c r="AF75" s="112"/>
      <c r="AG75" s="112"/>
      <c r="AH75" s="112"/>
      <c r="AI75" s="112"/>
      <c r="AJ75" s="112"/>
      <c r="AK75" s="112"/>
      <c r="AL75" s="112"/>
      <c r="AM75" s="112"/>
      <c r="AN75" s="112"/>
      <c r="AO75" s="112"/>
      <c r="AP75" s="112"/>
      <c r="AQ75" s="112"/>
      <c r="AS75" s="20"/>
      <c r="AT75" s="20"/>
      <c r="AU75" s="20"/>
      <c r="AV75" s="20"/>
      <c r="AW75" s="20"/>
      <c r="AX75" s="20"/>
      <c r="AY75" s="20"/>
      <c r="AZ75" s="20"/>
    </row>
    <row r="76" ht="12.0" customHeight="1">
      <c r="A76" s="112"/>
      <c r="B76" s="112"/>
      <c r="C76" s="112"/>
      <c r="D76" s="112"/>
      <c r="E76" s="112"/>
      <c r="F76" s="112"/>
      <c r="G76" s="112"/>
      <c r="H76" s="112"/>
      <c r="I76" s="126"/>
      <c r="J76" s="112"/>
      <c r="K76" s="112"/>
      <c r="L76" s="112"/>
      <c r="M76" s="112"/>
      <c r="N76" s="112"/>
      <c r="O76" s="112"/>
      <c r="P76" s="112"/>
      <c r="Q76" s="112"/>
      <c r="R76" s="112"/>
      <c r="S76" s="112"/>
      <c r="T76" s="112"/>
      <c r="U76" s="112"/>
      <c r="V76" s="112"/>
      <c r="W76" s="112"/>
      <c r="X76" s="112"/>
      <c r="Y76" s="112"/>
      <c r="Z76" s="112"/>
      <c r="AA76" s="112"/>
      <c r="AB76" s="112"/>
      <c r="AC76" s="112"/>
      <c r="AD76" s="112"/>
      <c r="AE76" s="112"/>
      <c r="AF76" s="112"/>
      <c r="AG76" s="112"/>
      <c r="AH76" s="112"/>
      <c r="AI76" s="112"/>
      <c r="AJ76" s="112"/>
      <c r="AK76" s="112"/>
      <c r="AL76" s="112"/>
      <c r="AM76" s="112"/>
      <c r="AN76" s="112"/>
      <c r="AO76" s="112"/>
      <c r="AP76" s="112"/>
      <c r="AQ76" s="112"/>
      <c r="AS76" s="20"/>
      <c r="AT76" s="20"/>
      <c r="AU76" s="20"/>
      <c r="AV76" s="20"/>
      <c r="AW76" s="20"/>
      <c r="AX76" s="20"/>
      <c r="AY76" s="20"/>
      <c r="AZ76" s="20"/>
    </row>
    <row r="77" ht="12.0" customHeight="1">
      <c r="A77" s="112"/>
      <c r="B77" s="112"/>
      <c r="C77" s="112"/>
      <c r="D77" s="112"/>
      <c r="E77" s="112"/>
      <c r="F77" s="112"/>
      <c r="G77" s="112"/>
      <c r="H77" s="112"/>
      <c r="I77" s="126"/>
      <c r="J77" s="112"/>
      <c r="K77" s="112"/>
      <c r="L77" s="112"/>
      <c r="M77" s="112"/>
      <c r="N77" s="112"/>
      <c r="O77" s="112"/>
      <c r="P77" s="112"/>
      <c r="Q77" s="112"/>
      <c r="R77" s="112"/>
      <c r="S77" s="112"/>
      <c r="T77" s="112"/>
      <c r="U77" s="112"/>
      <c r="V77" s="112"/>
      <c r="W77" s="112"/>
      <c r="X77" s="112"/>
      <c r="Y77" s="112"/>
      <c r="Z77" s="112"/>
      <c r="AA77" s="112"/>
      <c r="AB77" s="112"/>
      <c r="AC77" s="112"/>
      <c r="AD77" s="112"/>
      <c r="AE77" s="112"/>
      <c r="AF77" s="112"/>
      <c r="AG77" s="112"/>
      <c r="AH77" s="112"/>
      <c r="AI77" s="112"/>
      <c r="AJ77" s="112"/>
      <c r="AK77" s="112"/>
      <c r="AL77" s="112"/>
      <c r="AM77" s="112"/>
      <c r="AN77" s="112"/>
      <c r="AO77" s="112"/>
      <c r="AP77" s="112"/>
      <c r="AQ77" s="112"/>
      <c r="AS77" s="20"/>
      <c r="AT77" s="20"/>
      <c r="AU77" s="20"/>
      <c r="AV77" s="20"/>
      <c r="AW77" s="20"/>
      <c r="AX77" s="20"/>
      <c r="AY77" s="20"/>
      <c r="AZ77" s="20"/>
    </row>
    <row r="78" ht="12.0" customHeight="1">
      <c r="A78" s="112"/>
      <c r="B78" s="112"/>
      <c r="C78" s="112"/>
      <c r="D78" s="112"/>
      <c r="E78" s="112"/>
      <c r="F78" s="112"/>
      <c r="G78" s="112"/>
      <c r="H78" s="112"/>
      <c r="I78" s="126"/>
      <c r="J78" s="112"/>
      <c r="K78" s="112"/>
      <c r="L78" s="112"/>
      <c r="M78" s="112"/>
      <c r="N78" s="112"/>
      <c r="O78" s="112"/>
      <c r="P78" s="112"/>
      <c r="Q78" s="112"/>
      <c r="R78" s="112"/>
      <c r="S78" s="112"/>
      <c r="T78" s="112"/>
      <c r="U78" s="112"/>
      <c r="V78" s="112"/>
      <c r="W78" s="112"/>
      <c r="X78" s="112"/>
      <c r="Y78" s="112"/>
      <c r="Z78" s="112"/>
      <c r="AA78" s="112"/>
      <c r="AB78" s="112"/>
      <c r="AC78" s="112"/>
      <c r="AD78" s="112"/>
      <c r="AE78" s="112"/>
      <c r="AF78" s="112"/>
      <c r="AG78" s="112"/>
      <c r="AH78" s="112"/>
      <c r="AI78" s="112"/>
      <c r="AJ78" s="112"/>
      <c r="AK78" s="112"/>
      <c r="AL78" s="112"/>
      <c r="AM78" s="112"/>
      <c r="AN78" s="112"/>
      <c r="AO78" s="112"/>
      <c r="AP78" s="112"/>
      <c r="AQ78" s="112"/>
      <c r="AS78" s="20"/>
      <c r="AT78" s="20"/>
      <c r="AU78" s="20"/>
      <c r="AV78" s="20"/>
      <c r="AW78" s="20"/>
      <c r="AX78" s="20"/>
      <c r="AY78" s="20"/>
      <c r="AZ78" s="20"/>
    </row>
    <row r="79" ht="12.0" customHeight="1">
      <c r="A79" s="112"/>
      <c r="B79" s="112"/>
      <c r="C79" s="112"/>
      <c r="D79" s="112"/>
      <c r="E79" s="112"/>
      <c r="F79" s="112"/>
      <c r="G79" s="112"/>
      <c r="H79" s="112"/>
      <c r="I79" s="126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112"/>
      <c r="U79" s="112"/>
      <c r="V79" s="112"/>
      <c r="W79" s="112"/>
      <c r="X79" s="112"/>
      <c r="Y79" s="112"/>
      <c r="Z79" s="112"/>
      <c r="AA79" s="112"/>
      <c r="AB79" s="112"/>
      <c r="AC79" s="112"/>
      <c r="AD79" s="112"/>
      <c r="AE79" s="112"/>
      <c r="AF79" s="112"/>
      <c r="AG79" s="112"/>
      <c r="AH79" s="112"/>
      <c r="AI79" s="112"/>
      <c r="AJ79" s="112"/>
      <c r="AK79" s="112"/>
      <c r="AL79" s="112"/>
      <c r="AM79" s="112"/>
      <c r="AN79" s="112"/>
      <c r="AO79" s="112"/>
      <c r="AP79" s="112"/>
      <c r="AQ79" s="112"/>
      <c r="AS79" s="20"/>
      <c r="AT79" s="20"/>
      <c r="AU79" s="20"/>
      <c r="AV79" s="20"/>
      <c r="AW79" s="20"/>
      <c r="AX79" s="20"/>
      <c r="AY79" s="20"/>
      <c r="AZ79" s="20"/>
    </row>
    <row r="80" ht="12.0" customHeight="1">
      <c r="A80" s="112"/>
      <c r="B80" s="112"/>
      <c r="C80" s="112"/>
      <c r="D80" s="112"/>
      <c r="E80" s="112"/>
      <c r="F80" s="112"/>
      <c r="G80" s="112"/>
      <c r="H80" s="112"/>
      <c r="I80" s="126"/>
      <c r="J80" s="112"/>
      <c r="K80" s="112"/>
      <c r="L80" s="112"/>
      <c r="M80" s="112"/>
      <c r="N80" s="112"/>
      <c r="O80" s="112"/>
      <c r="P80" s="112"/>
      <c r="Q80" s="112"/>
      <c r="R80" s="112"/>
      <c r="S80" s="112"/>
      <c r="T80" s="112"/>
      <c r="U80" s="112"/>
      <c r="V80" s="112"/>
      <c r="W80" s="112"/>
      <c r="X80" s="112"/>
      <c r="Y80" s="112"/>
      <c r="Z80" s="112"/>
      <c r="AA80" s="112"/>
      <c r="AB80" s="112"/>
      <c r="AC80" s="112"/>
      <c r="AD80" s="112"/>
      <c r="AE80" s="112"/>
      <c r="AF80" s="112"/>
      <c r="AG80" s="112"/>
      <c r="AH80" s="112"/>
      <c r="AI80" s="112"/>
      <c r="AJ80" s="112"/>
      <c r="AK80" s="112"/>
      <c r="AL80" s="112"/>
      <c r="AM80" s="112"/>
      <c r="AN80" s="112"/>
      <c r="AO80" s="112"/>
      <c r="AP80" s="112"/>
      <c r="AQ80" s="112"/>
      <c r="AS80" s="20"/>
      <c r="AT80" s="20"/>
      <c r="AU80" s="20"/>
      <c r="AV80" s="20"/>
      <c r="AW80" s="20"/>
      <c r="AX80" s="20"/>
      <c r="AY80" s="20"/>
      <c r="AZ80" s="20"/>
    </row>
    <row r="81" ht="12.0" customHeight="1">
      <c r="A81" s="112"/>
      <c r="B81" s="112"/>
      <c r="C81" s="112"/>
      <c r="D81" s="112"/>
      <c r="E81" s="112"/>
      <c r="F81" s="112"/>
      <c r="G81" s="112"/>
      <c r="H81" s="112"/>
      <c r="I81" s="126"/>
      <c r="J81" s="112"/>
      <c r="K81" s="112"/>
      <c r="L81" s="112"/>
      <c r="M81" s="112"/>
      <c r="N81" s="112"/>
      <c r="O81" s="112"/>
      <c r="P81" s="112"/>
      <c r="Q81" s="112"/>
      <c r="R81" s="112"/>
      <c r="S81" s="112"/>
      <c r="T81" s="112"/>
      <c r="U81" s="112"/>
      <c r="V81" s="112"/>
      <c r="W81" s="112"/>
      <c r="X81" s="112"/>
      <c r="Y81" s="112"/>
      <c r="Z81" s="112"/>
      <c r="AA81" s="112"/>
      <c r="AB81" s="112"/>
      <c r="AC81" s="112"/>
      <c r="AD81" s="112"/>
      <c r="AE81" s="112"/>
      <c r="AF81" s="112"/>
      <c r="AG81" s="112"/>
      <c r="AH81" s="112"/>
      <c r="AI81" s="112"/>
      <c r="AJ81" s="112"/>
      <c r="AK81" s="112"/>
      <c r="AL81" s="112"/>
      <c r="AM81" s="112"/>
      <c r="AN81" s="112"/>
      <c r="AO81" s="112"/>
      <c r="AP81" s="112"/>
      <c r="AQ81" s="112"/>
      <c r="AS81" s="20"/>
      <c r="AT81" s="20"/>
      <c r="AU81" s="20"/>
      <c r="AV81" s="20"/>
      <c r="AW81" s="20"/>
      <c r="AX81" s="20"/>
      <c r="AY81" s="20"/>
      <c r="AZ81" s="20"/>
    </row>
    <row r="82" ht="12.0" customHeight="1">
      <c r="A82" s="112"/>
      <c r="B82" s="112"/>
      <c r="C82" s="112"/>
      <c r="D82" s="112"/>
      <c r="E82" s="112"/>
      <c r="F82" s="112"/>
      <c r="G82" s="112"/>
      <c r="H82" s="112"/>
      <c r="I82" s="126"/>
      <c r="J82" s="112"/>
      <c r="K82" s="112"/>
      <c r="L82" s="112"/>
      <c r="M82" s="112"/>
      <c r="N82" s="112"/>
      <c r="O82" s="112"/>
      <c r="P82" s="112"/>
      <c r="Q82" s="112"/>
      <c r="R82" s="112"/>
      <c r="S82" s="112"/>
      <c r="T82" s="112"/>
      <c r="U82" s="112"/>
      <c r="V82" s="112"/>
      <c r="W82" s="112"/>
      <c r="X82" s="112"/>
      <c r="Y82" s="112"/>
      <c r="Z82" s="112"/>
      <c r="AA82" s="112"/>
      <c r="AB82" s="112"/>
      <c r="AC82" s="112"/>
      <c r="AD82" s="112"/>
      <c r="AE82" s="112"/>
      <c r="AF82" s="112"/>
      <c r="AG82" s="112"/>
      <c r="AH82" s="112"/>
      <c r="AI82" s="112"/>
      <c r="AJ82" s="112"/>
      <c r="AK82" s="112"/>
      <c r="AL82" s="112"/>
      <c r="AM82" s="112"/>
      <c r="AN82" s="112"/>
      <c r="AO82" s="112"/>
      <c r="AP82" s="112"/>
      <c r="AQ82" s="112"/>
      <c r="AS82" s="20"/>
      <c r="AT82" s="20"/>
      <c r="AU82" s="20"/>
      <c r="AV82" s="20"/>
      <c r="AW82" s="20"/>
      <c r="AX82" s="20"/>
      <c r="AY82" s="20"/>
      <c r="AZ82" s="20"/>
    </row>
    <row r="83" ht="12.0" customHeight="1">
      <c r="A83" s="112"/>
      <c r="B83" s="112"/>
      <c r="C83" s="112"/>
      <c r="D83" s="112"/>
      <c r="E83" s="112"/>
      <c r="F83" s="112"/>
      <c r="G83" s="112"/>
      <c r="H83" s="112"/>
      <c r="I83" s="126"/>
      <c r="J83" s="112"/>
      <c r="K83" s="112"/>
      <c r="L83" s="112"/>
      <c r="M83" s="112"/>
      <c r="N83" s="112"/>
      <c r="O83" s="112"/>
      <c r="P83" s="112"/>
      <c r="Q83" s="112"/>
      <c r="R83" s="112"/>
      <c r="S83" s="112"/>
      <c r="T83" s="112"/>
      <c r="U83" s="112"/>
      <c r="V83" s="112"/>
      <c r="W83" s="112"/>
      <c r="X83" s="112"/>
      <c r="Y83" s="112"/>
      <c r="Z83" s="112"/>
      <c r="AA83" s="112"/>
      <c r="AB83" s="112"/>
      <c r="AC83" s="112"/>
      <c r="AD83" s="112"/>
      <c r="AE83" s="112"/>
      <c r="AF83" s="112"/>
      <c r="AG83" s="112"/>
      <c r="AH83" s="112"/>
      <c r="AI83" s="112"/>
      <c r="AJ83" s="112"/>
      <c r="AK83" s="112"/>
      <c r="AL83" s="112"/>
      <c r="AM83" s="112"/>
      <c r="AN83" s="112"/>
      <c r="AO83" s="112"/>
      <c r="AP83" s="112"/>
      <c r="AQ83" s="112"/>
      <c r="AS83" s="20"/>
      <c r="AT83" s="20"/>
      <c r="AU83" s="20"/>
      <c r="AV83" s="20"/>
      <c r="AW83" s="20"/>
      <c r="AX83" s="20"/>
      <c r="AY83" s="20"/>
      <c r="AZ83" s="20"/>
    </row>
    <row r="84" ht="12.0" customHeight="1">
      <c r="A84" s="112"/>
      <c r="B84" s="112"/>
      <c r="C84" s="112"/>
      <c r="D84" s="112"/>
      <c r="E84" s="112"/>
      <c r="F84" s="112"/>
      <c r="G84" s="112"/>
      <c r="H84" s="112"/>
      <c r="I84" s="126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112"/>
      <c r="U84" s="112"/>
      <c r="V84" s="112"/>
      <c r="W84" s="112"/>
      <c r="X84" s="112"/>
      <c r="Y84" s="112"/>
      <c r="Z84" s="112"/>
      <c r="AA84" s="112"/>
      <c r="AB84" s="112"/>
      <c r="AC84" s="112"/>
      <c r="AD84" s="112"/>
      <c r="AE84" s="112"/>
      <c r="AF84" s="112"/>
      <c r="AG84" s="112"/>
      <c r="AH84" s="112"/>
      <c r="AI84" s="112"/>
      <c r="AJ84" s="112"/>
      <c r="AK84" s="112"/>
      <c r="AL84" s="112"/>
      <c r="AM84" s="112"/>
      <c r="AN84" s="112"/>
      <c r="AO84" s="112"/>
      <c r="AP84" s="112"/>
      <c r="AQ84" s="112"/>
      <c r="AS84" s="20"/>
      <c r="AT84" s="20"/>
      <c r="AU84" s="20"/>
      <c r="AV84" s="20"/>
      <c r="AW84" s="20"/>
      <c r="AX84" s="20"/>
      <c r="AY84" s="20"/>
      <c r="AZ84" s="20"/>
    </row>
    <row r="85" ht="12.0" customHeight="1">
      <c r="A85" s="112"/>
      <c r="B85" s="112"/>
      <c r="C85" s="112"/>
      <c r="D85" s="112"/>
      <c r="E85" s="112"/>
      <c r="F85" s="112"/>
      <c r="G85" s="112"/>
      <c r="H85" s="112"/>
      <c r="I85" s="126"/>
      <c r="J85" s="112"/>
      <c r="K85" s="112"/>
      <c r="L85" s="112"/>
      <c r="M85" s="112"/>
      <c r="N85" s="112"/>
      <c r="O85" s="112"/>
      <c r="P85" s="112"/>
      <c r="Q85" s="112"/>
      <c r="R85" s="112"/>
      <c r="S85" s="112"/>
      <c r="T85" s="112"/>
      <c r="U85" s="112"/>
      <c r="V85" s="112"/>
      <c r="W85" s="112"/>
      <c r="X85" s="112"/>
      <c r="Y85" s="112"/>
      <c r="Z85" s="112"/>
      <c r="AA85" s="112"/>
      <c r="AB85" s="112"/>
      <c r="AC85" s="112"/>
      <c r="AD85" s="112"/>
      <c r="AE85" s="112"/>
      <c r="AF85" s="112"/>
      <c r="AG85" s="112"/>
      <c r="AH85" s="112"/>
      <c r="AI85" s="112"/>
      <c r="AJ85" s="112"/>
      <c r="AK85" s="112"/>
      <c r="AL85" s="112"/>
      <c r="AM85" s="112"/>
      <c r="AN85" s="112"/>
      <c r="AO85" s="112"/>
      <c r="AP85" s="112"/>
      <c r="AQ85" s="112"/>
      <c r="AS85" s="20"/>
      <c r="AT85" s="20"/>
      <c r="AU85" s="20"/>
      <c r="AV85" s="20"/>
      <c r="AW85" s="20"/>
      <c r="AX85" s="20"/>
      <c r="AY85" s="20"/>
      <c r="AZ85" s="20"/>
    </row>
    <row r="86" ht="12.0" customHeight="1">
      <c r="A86" s="112"/>
      <c r="B86" s="112"/>
      <c r="C86" s="112"/>
      <c r="D86" s="112"/>
      <c r="E86" s="112"/>
      <c r="F86" s="112"/>
      <c r="G86" s="112"/>
      <c r="H86" s="112"/>
      <c r="I86" s="126"/>
      <c r="J86" s="112"/>
      <c r="K86" s="112"/>
      <c r="L86" s="112"/>
      <c r="M86" s="112"/>
      <c r="N86" s="112"/>
      <c r="O86" s="112"/>
      <c r="P86" s="112"/>
      <c r="Q86" s="112"/>
      <c r="R86" s="112"/>
      <c r="S86" s="112"/>
      <c r="T86" s="112"/>
      <c r="U86" s="112"/>
      <c r="V86" s="112"/>
      <c r="W86" s="112"/>
      <c r="X86" s="112"/>
      <c r="Y86" s="112"/>
      <c r="Z86" s="112"/>
      <c r="AA86" s="112"/>
      <c r="AB86" s="112"/>
      <c r="AC86" s="112"/>
      <c r="AD86" s="112"/>
      <c r="AE86" s="112"/>
      <c r="AF86" s="112"/>
      <c r="AG86" s="112"/>
      <c r="AH86" s="112"/>
      <c r="AI86" s="112"/>
      <c r="AJ86" s="112"/>
      <c r="AK86" s="112"/>
      <c r="AL86" s="112"/>
      <c r="AM86" s="112"/>
      <c r="AN86" s="112"/>
      <c r="AO86" s="112"/>
      <c r="AP86" s="112"/>
      <c r="AQ86" s="112"/>
      <c r="AS86" s="20"/>
      <c r="AT86" s="20"/>
      <c r="AU86" s="20"/>
      <c r="AV86" s="20"/>
      <c r="AW86" s="20"/>
      <c r="AX86" s="20"/>
      <c r="AY86" s="20"/>
      <c r="AZ86" s="20"/>
    </row>
    <row r="87" ht="12.0" customHeight="1">
      <c r="A87" s="112"/>
      <c r="B87" s="112"/>
      <c r="C87" s="112"/>
      <c r="D87" s="112"/>
      <c r="E87" s="112"/>
      <c r="F87" s="112"/>
      <c r="G87" s="112"/>
      <c r="H87" s="112"/>
      <c r="I87" s="126"/>
      <c r="J87" s="112"/>
      <c r="K87" s="112"/>
      <c r="L87" s="112"/>
      <c r="M87" s="112"/>
      <c r="N87" s="112"/>
      <c r="O87" s="112"/>
      <c r="P87" s="112"/>
      <c r="Q87" s="112"/>
      <c r="R87" s="112"/>
      <c r="S87" s="112"/>
      <c r="T87" s="112"/>
      <c r="U87" s="112"/>
      <c r="V87" s="112"/>
      <c r="W87" s="112"/>
      <c r="X87" s="112"/>
      <c r="Y87" s="112"/>
      <c r="Z87" s="112"/>
      <c r="AA87" s="112"/>
      <c r="AB87" s="112"/>
      <c r="AC87" s="112"/>
      <c r="AD87" s="112"/>
      <c r="AE87" s="112"/>
      <c r="AF87" s="112"/>
      <c r="AG87" s="112"/>
      <c r="AH87" s="112"/>
      <c r="AI87" s="112"/>
      <c r="AJ87" s="112"/>
      <c r="AK87" s="112"/>
      <c r="AL87" s="112"/>
      <c r="AM87" s="112"/>
      <c r="AN87" s="112"/>
      <c r="AO87" s="112"/>
      <c r="AP87" s="112"/>
      <c r="AQ87" s="112"/>
      <c r="AS87" s="20"/>
      <c r="AT87" s="20"/>
      <c r="AU87" s="20"/>
      <c r="AV87" s="20"/>
      <c r="AW87" s="20"/>
      <c r="AX87" s="20"/>
      <c r="AY87" s="20"/>
      <c r="AZ87" s="20"/>
    </row>
    <row r="88" ht="12.0" customHeight="1">
      <c r="A88" s="112"/>
      <c r="B88" s="112"/>
      <c r="C88" s="112"/>
      <c r="D88" s="112"/>
      <c r="E88" s="112"/>
      <c r="F88" s="112"/>
      <c r="G88" s="112"/>
      <c r="H88" s="112"/>
      <c r="I88" s="126"/>
      <c r="J88" s="112"/>
      <c r="K88" s="112"/>
      <c r="L88" s="112"/>
      <c r="M88" s="112"/>
      <c r="N88" s="112"/>
      <c r="O88" s="112"/>
      <c r="P88" s="112"/>
      <c r="Q88" s="112"/>
      <c r="R88" s="112"/>
      <c r="S88" s="112"/>
      <c r="T88" s="112"/>
      <c r="U88" s="112"/>
      <c r="V88" s="112"/>
      <c r="W88" s="112"/>
      <c r="X88" s="112"/>
      <c r="Y88" s="112"/>
      <c r="Z88" s="112"/>
      <c r="AA88" s="112"/>
      <c r="AB88" s="112"/>
      <c r="AC88" s="112"/>
      <c r="AD88" s="112"/>
      <c r="AE88" s="112"/>
      <c r="AF88" s="112"/>
      <c r="AG88" s="112"/>
      <c r="AH88" s="112"/>
      <c r="AI88" s="112"/>
      <c r="AJ88" s="112"/>
      <c r="AK88" s="112"/>
      <c r="AL88" s="112"/>
      <c r="AM88" s="112"/>
      <c r="AN88" s="112"/>
      <c r="AO88" s="112"/>
      <c r="AP88" s="112"/>
      <c r="AQ88" s="112"/>
      <c r="AS88" s="20"/>
      <c r="AT88" s="20"/>
      <c r="AU88" s="20"/>
      <c r="AV88" s="20"/>
      <c r="AW88" s="20"/>
      <c r="AX88" s="20"/>
      <c r="AY88" s="20"/>
      <c r="AZ88" s="20"/>
    </row>
    <row r="89" ht="12.0" customHeight="1">
      <c r="A89" s="112"/>
      <c r="B89" s="112"/>
      <c r="C89" s="112"/>
      <c r="D89" s="112"/>
      <c r="E89" s="112"/>
      <c r="F89" s="112"/>
      <c r="G89" s="112"/>
      <c r="H89" s="112"/>
      <c r="I89" s="126"/>
      <c r="J89" s="112"/>
      <c r="K89" s="112"/>
      <c r="L89" s="112"/>
      <c r="M89" s="112"/>
      <c r="N89" s="112"/>
      <c r="O89" s="112"/>
      <c r="P89" s="112"/>
      <c r="Q89" s="112"/>
      <c r="R89" s="112"/>
      <c r="S89" s="112"/>
      <c r="T89" s="112"/>
      <c r="U89" s="112"/>
      <c r="V89" s="112"/>
      <c r="W89" s="112"/>
      <c r="X89" s="112"/>
      <c r="Y89" s="112"/>
      <c r="Z89" s="112"/>
      <c r="AA89" s="112"/>
      <c r="AB89" s="112"/>
      <c r="AC89" s="112"/>
      <c r="AD89" s="112"/>
      <c r="AE89" s="112"/>
      <c r="AF89" s="112"/>
      <c r="AG89" s="112"/>
      <c r="AH89" s="112"/>
      <c r="AI89" s="112"/>
      <c r="AJ89" s="112"/>
      <c r="AK89" s="112"/>
      <c r="AL89" s="112"/>
      <c r="AM89" s="112"/>
      <c r="AN89" s="112"/>
      <c r="AO89" s="112"/>
      <c r="AP89" s="112"/>
      <c r="AQ89" s="112"/>
      <c r="AS89" s="20"/>
      <c r="AT89" s="20"/>
      <c r="AU89" s="20"/>
      <c r="AV89" s="20"/>
      <c r="AW89" s="20"/>
      <c r="AX89" s="20"/>
      <c r="AY89" s="20"/>
      <c r="AZ89" s="20"/>
    </row>
    <row r="90" ht="12.0" customHeight="1">
      <c r="A90" s="112"/>
      <c r="B90" s="112"/>
      <c r="C90" s="112"/>
      <c r="D90" s="112"/>
      <c r="E90" s="112"/>
      <c r="F90" s="112"/>
      <c r="G90" s="112"/>
      <c r="H90" s="112"/>
      <c r="I90" s="126"/>
      <c r="J90" s="112"/>
      <c r="K90" s="112"/>
      <c r="L90" s="112"/>
      <c r="M90" s="112"/>
      <c r="N90" s="112"/>
      <c r="O90" s="112"/>
      <c r="P90" s="112"/>
      <c r="Q90" s="112"/>
      <c r="R90" s="112"/>
      <c r="S90" s="112"/>
      <c r="T90" s="112"/>
      <c r="U90" s="112"/>
      <c r="V90" s="112"/>
      <c r="W90" s="112"/>
      <c r="X90" s="112"/>
      <c r="Y90" s="112"/>
      <c r="Z90" s="112"/>
      <c r="AA90" s="112"/>
      <c r="AB90" s="112"/>
      <c r="AC90" s="112"/>
      <c r="AD90" s="112"/>
      <c r="AE90" s="112"/>
      <c r="AF90" s="112"/>
      <c r="AG90" s="112"/>
      <c r="AH90" s="112"/>
      <c r="AI90" s="112"/>
      <c r="AJ90" s="112"/>
      <c r="AK90" s="112"/>
      <c r="AL90" s="112"/>
      <c r="AM90" s="112"/>
      <c r="AN90" s="112"/>
      <c r="AO90" s="112"/>
      <c r="AP90" s="112"/>
      <c r="AQ90" s="112"/>
      <c r="AS90" s="20"/>
      <c r="AT90" s="20"/>
      <c r="AU90" s="20"/>
      <c r="AV90" s="20"/>
      <c r="AW90" s="20"/>
      <c r="AX90" s="20"/>
      <c r="AY90" s="20"/>
      <c r="AZ90" s="20"/>
    </row>
    <row r="91" ht="12.0" customHeight="1">
      <c r="A91" s="112"/>
      <c r="B91" s="112"/>
      <c r="C91" s="112"/>
      <c r="D91" s="112"/>
      <c r="E91" s="112"/>
      <c r="F91" s="112"/>
      <c r="G91" s="112"/>
      <c r="H91" s="112"/>
      <c r="I91" s="126"/>
      <c r="J91" s="112"/>
      <c r="K91" s="112"/>
      <c r="L91" s="112"/>
      <c r="M91" s="112"/>
      <c r="N91" s="112"/>
      <c r="O91" s="112"/>
      <c r="P91" s="112"/>
      <c r="Q91" s="112"/>
      <c r="R91" s="112"/>
      <c r="S91" s="112"/>
      <c r="T91" s="112"/>
      <c r="U91" s="112"/>
      <c r="V91" s="112"/>
      <c r="W91" s="112"/>
      <c r="X91" s="112"/>
      <c r="Y91" s="112"/>
      <c r="Z91" s="112"/>
      <c r="AA91" s="112"/>
      <c r="AB91" s="112"/>
      <c r="AC91" s="112"/>
      <c r="AD91" s="112"/>
      <c r="AE91" s="112"/>
      <c r="AF91" s="112"/>
      <c r="AG91" s="112"/>
      <c r="AH91" s="112"/>
      <c r="AI91" s="112"/>
      <c r="AJ91" s="112"/>
      <c r="AK91" s="112"/>
      <c r="AL91" s="112"/>
      <c r="AM91" s="112"/>
      <c r="AN91" s="112"/>
      <c r="AO91" s="112"/>
      <c r="AP91" s="112"/>
      <c r="AQ91" s="112"/>
      <c r="AS91" s="20"/>
      <c r="AT91" s="20"/>
      <c r="AU91" s="20"/>
      <c r="AV91" s="20"/>
      <c r="AW91" s="20"/>
      <c r="AX91" s="20"/>
      <c r="AY91" s="20"/>
      <c r="AZ91" s="20"/>
    </row>
    <row r="92" ht="12.0" customHeight="1">
      <c r="A92" s="112"/>
      <c r="B92" s="112"/>
      <c r="C92" s="112"/>
      <c r="D92" s="112"/>
      <c r="E92" s="112"/>
      <c r="F92" s="112"/>
      <c r="G92" s="112"/>
      <c r="H92" s="112"/>
      <c r="I92" s="126"/>
      <c r="J92" s="112"/>
      <c r="K92" s="112"/>
      <c r="L92" s="112"/>
      <c r="M92" s="112"/>
      <c r="N92" s="112"/>
      <c r="O92" s="112"/>
      <c r="P92" s="112"/>
      <c r="Q92" s="112"/>
      <c r="R92" s="112"/>
      <c r="S92" s="112"/>
      <c r="T92" s="112"/>
      <c r="U92" s="112"/>
      <c r="V92" s="112"/>
      <c r="W92" s="112"/>
      <c r="X92" s="112"/>
      <c r="Y92" s="112"/>
      <c r="Z92" s="112"/>
      <c r="AA92" s="112"/>
      <c r="AB92" s="112"/>
      <c r="AC92" s="112"/>
      <c r="AD92" s="112"/>
      <c r="AE92" s="112"/>
      <c r="AF92" s="112"/>
      <c r="AG92" s="112"/>
      <c r="AH92" s="112"/>
      <c r="AI92" s="112"/>
      <c r="AJ92" s="112"/>
      <c r="AK92" s="112"/>
      <c r="AL92" s="112"/>
      <c r="AM92" s="112"/>
      <c r="AN92" s="112"/>
      <c r="AO92" s="112"/>
      <c r="AP92" s="112"/>
      <c r="AQ92" s="112"/>
      <c r="AS92" s="20"/>
      <c r="AT92" s="20"/>
      <c r="AU92" s="20"/>
      <c r="AV92" s="20"/>
      <c r="AW92" s="20"/>
      <c r="AX92" s="20"/>
      <c r="AY92" s="20"/>
      <c r="AZ92" s="20"/>
    </row>
    <row r="93" ht="12.0" customHeight="1">
      <c r="A93" s="112"/>
      <c r="B93" s="112"/>
      <c r="C93" s="112"/>
      <c r="D93" s="112"/>
      <c r="E93" s="112"/>
      <c r="F93" s="112"/>
      <c r="G93" s="112"/>
      <c r="H93" s="112"/>
      <c r="I93" s="126"/>
      <c r="J93" s="112"/>
      <c r="K93" s="112"/>
      <c r="L93" s="112"/>
      <c r="M93" s="112"/>
      <c r="N93" s="112"/>
      <c r="O93" s="112"/>
      <c r="P93" s="112"/>
      <c r="Q93" s="112"/>
      <c r="R93" s="112"/>
      <c r="S93" s="112"/>
      <c r="T93" s="112"/>
      <c r="U93" s="112"/>
      <c r="V93" s="112"/>
      <c r="W93" s="112"/>
      <c r="X93" s="112"/>
      <c r="Y93" s="112"/>
      <c r="Z93" s="112"/>
      <c r="AA93" s="112"/>
      <c r="AB93" s="112"/>
      <c r="AC93" s="112"/>
      <c r="AD93" s="112"/>
      <c r="AE93" s="112"/>
      <c r="AF93" s="112"/>
      <c r="AG93" s="112"/>
      <c r="AH93" s="112"/>
      <c r="AI93" s="112"/>
      <c r="AJ93" s="112"/>
      <c r="AK93" s="112"/>
      <c r="AL93" s="112"/>
      <c r="AM93" s="112"/>
      <c r="AN93" s="112"/>
      <c r="AO93" s="112"/>
      <c r="AP93" s="112"/>
      <c r="AQ93" s="112"/>
      <c r="AS93" s="20"/>
      <c r="AT93" s="20"/>
      <c r="AU93" s="20"/>
      <c r="AV93" s="20"/>
      <c r="AW93" s="20"/>
      <c r="AX93" s="20"/>
      <c r="AY93" s="20"/>
      <c r="AZ93" s="20"/>
    </row>
    <row r="94" ht="12.0" customHeight="1">
      <c r="A94" s="112"/>
      <c r="B94" s="112"/>
      <c r="C94" s="112"/>
      <c r="D94" s="112"/>
      <c r="E94" s="112"/>
      <c r="F94" s="112"/>
      <c r="G94" s="112"/>
      <c r="H94" s="112"/>
      <c r="I94" s="126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112"/>
      <c r="U94" s="112"/>
      <c r="V94" s="112"/>
      <c r="W94" s="112"/>
      <c r="X94" s="112"/>
      <c r="Y94" s="112"/>
      <c r="Z94" s="112"/>
      <c r="AA94" s="112"/>
      <c r="AB94" s="112"/>
      <c r="AC94" s="112"/>
      <c r="AD94" s="112"/>
      <c r="AE94" s="112"/>
      <c r="AF94" s="112"/>
      <c r="AG94" s="112"/>
      <c r="AH94" s="112"/>
      <c r="AI94" s="112"/>
      <c r="AJ94" s="112"/>
      <c r="AK94" s="112"/>
      <c r="AL94" s="112"/>
      <c r="AM94" s="112"/>
      <c r="AN94" s="112"/>
      <c r="AO94" s="112"/>
      <c r="AP94" s="112"/>
      <c r="AQ94" s="112"/>
      <c r="AS94" s="20"/>
      <c r="AT94" s="20"/>
      <c r="AU94" s="20"/>
      <c r="AV94" s="20"/>
      <c r="AW94" s="20"/>
      <c r="AX94" s="20"/>
      <c r="AY94" s="20"/>
      <c r="AZ94" s="20"/>
    </row>
    <row r="95" ht="12.0" customHeight="1">
      <c r="A95" s="112"/>
      <c r="B95" s="112"/>
      <c r="C95" s="112"/>
      <c r="D95" s="112"/>
      <c r="E95" s="112"/>
      <c r="F95" s="112"/>
      <c r="G95" s="112"/>
      <c r="H95" s="112"/>
      <c r="I95" s="126"/>
      <c r="J95" s="112"/>
      <c r="K95" s="112"/>
      <c r="L95" s="112"/>
      <c r="M95" s="112"/>
      <c r="N95" s="112"/>
      <c r="O95" s="112"/>
      <c r="P95" s="112"/>
      <c r="Q95" s="112"/>
      <c r="R95" s="112"/>
      <c r="S95" s="112"/>
      <c r="T95" s="112"/>
      <c r="U95" s="112"/>
      <c r="V95" s="112"/>
      <c r="W95" s="112"/>
      <c r="X95" s="112"/>
      <c r="Y95" s="112"/>
      <c r="Z95" s="112"/>
      <c r="AA95" s="112"/>
      <c r="AB95" s="112"/>
      <c r="AC95" s="112"/>
      <c r="AD95" s="112"/>
      <c r="AE95" s="112"/>
      <c r="AF95" s="112"/>
      <c r="AG95" s="112"/>
      <c r="AH95" s="112"/>
      <c r="AI95" s="112"/>
      <c r="AJ95" s="112"/>
      <c r="AK95" s="112"/>
      <c r="AL95" s="112"/>
      <c r="AM95" s="112"/>
      <c r="AN95" s="112"/>
      <c r="AO95" s="112"/>
      <c r="AP95" s="112"/>
      <c r="AQ95" s="112"/>
      <c r="AS95" s="20"/>
      <c r="AT95" s="20"/>
      <c r="AU95" s="20"/>
      <c r="AV95" s="20"/>
      <c r="AW95" s="20"/>
      <c r="AX95" s="20"/>
      <c r="AY95" s="20"/>
      <c r="AZ95" s="20"/>
    </row>
    <row r="96" ht="12.0" customHeight="1">
      <c r="A96" s="112"/>
      <c r="B96" s="112"/>
      <c r="C96" s="112"/>
      <c r="D96" s="112"/>
      <c r="E96" s="112"/>
      <c r="F96" s="112"/>
      <c r="G96" s="112"/>
      <c r="H96" s="112"/>
      <c r="I96" s="126"/>
      <c r="J96" s="112"/>
      <c r="K96" s="112"/>
      <c r="L96" s="112"/>
      <c r="M96" s="112"/>
      <c r="N96" s="112"/>
      <c r="O96" s="112"/>
      <c r="P96" s="112"/>
      <c r="Q96" s="112"/>
      <c r="R96" s="112"/>
      <c r="S96" s="112"/>
      <c r="T96" s="112"/>
      <c r="U96" s="112"/>
      <c r="V96" s="112"/>
      <c r="W96" s="112"/>
      <c r="X96" s="112"/>
      <c r="Y96" s="112"/>
      <c r="Z96" s="112"/>
      <c r="AA96" s="112"/>
      <c r="AB96" s="112"/>
      <c r="AC96" s="112"/>
      <c r="AD96" s="112"/>
      <c r="AE96" s="112"/>
      <c r="AF96" s="112"/>
      <c r="AG96" s="112"/>
      <c r="AH96" s="112"/>
      <c r="AI96" s="112"/>
      <c r="AJ96" s="112"/>
      <c r="AK96" s="112"/>
      <c r="AL96" s="112"/>
      <c r="AM96" s="112"/>
      <c r="AN96" s="112"/>
      <c r="AO96" s="112"/>
      <c r="AP96" s="112"/>
      <c r="AQ96" s="112"/>
      <c r="AS96" s="20"/>
      <c r="AT96" s="20"/>
      <c r="AU96" s="20"/>
      <c r="AV96" s="20"/>
      <c r="AW96" s="20"/>
      <c r="AX96" s="20"/>
      <c r="AY96" s="20"/>
      <c r="AZ96" s="20"/>
    </row>
    <row r="97" ht="12.0" customHeight="1">
      <c r="A97" s="112"/>
      <c r="B97" s="112"/>
      <c r="C97" s="112"/>
      <c r="D97" s="112"/>
      <c r="E97" s="112"/>
      <c r="F97" s="112"/>
      <c r="G97" s="112"/>
      <c r="H97" s="112"/>
      <c r="I97" s="126"/>
      <c r="J97" s="112"/>
      <c r="K97" s="112"/>
      <c r="L97" s="112"/>
      <c r="M97" s="112"/>
      <c r="N97" s="112"/>
      <c r="O97" s="112"/>
      <c r="P97" s="112"/>
      <c r="Q97" s="112"/>
      <c r="R97" s="112"/>
      <c r="S97" s="112"/>
      <c r="T97" s="112"/>
      <c r="U97" s="112"/>
      <c r="V97" s="112"/>
      <c r="W97" s="112"/>
      <c r="X97" s="112"/>
      <c r="Y97" s="112"/>
      <c r="Z97" s="112"/>
      <c r="AA97" s="112"/>
      <c r="AB97" s="112"/>
      <c r="AC97" s="112"/>
      <c r="AD97" s="112"/>
      <c r="AE97" s="112"/>
      <c r="AF97" s="112"/>
      <c r="AG97" s="112"/>
      <c r="AH97" s="112"/>
      <c r="AI97" s="112"/>
      <c r="AJ97" s="112"/>
      <c r="AK97" s="112"/>
      <c r="AL97" s="112"/>
      <c r="AM97" s="112"/>
      <c r="AN97" s="112"/>
      <c r="AO97" s="112"/>
      <c r="AP97" s="112"/>
      <c r="AQ97" s="112"/>
      <c r="AS97" s="20"/>
      <c r="AT97" s="20"/>
      <c r="AU97" s="20"/>
      <c r="AV97" s="20"/>
      <c r="AW97" s="20"/>
      <c r="AX97" s="20"/>
      <c r="AY97" s="20"/>
      <c r="AZ97" s="20"/>
    </row>
    <row r="98" ht="12.0" customHeight="1">
      <c r="A98" s="112"/>
      <c r="B98" s="112"/>
      <c r="C98" s="112"/>
      <c r="D98" s="112"/>
      <c r="E98" s="112"/>
      <c r="F98" s="112"/>
      <c r="G98" s="112"/>
      <c r="H98" s="112"/>
      <c r="I98" s="126"/>
      <c r="J98" s="112"/>
      <c r="K98" s="112"/>
      <c r="L98" s="112"/>
      <c r="M98" s="112"/>
      <c r="N98" s="112"/>
      <c r="O98" s="112"/>
      <c r="P98" s="112"/>
      <c r="Q98" s="112"/>
      <c r="R98" s="112"/>
      <c r="S98" s="112"/>
      <c r="T98" s="112"/>
      <c r="U98" s="112"/>
      <c r="V98" s="112"/>
      <c r="W98" s="112"/>
      <c r="X98" s="112"/>
      <c r="Y98" s="112"/>
      <c r="Z98" s="112"/>
      <c r="AA98" s="112"/>
      <c r="AB98" s="112"/>
      <c r="AC98" s="112"/>
      <c r="AD98" s="112"/>
      <c r="AE98" s="112"/>
      <c r="AF98" s="112"/>
      <c r="AG98" s="112"/>
      <c r="AH98" s="112"/>
      <c r="AI98" s="112"/>
      <c r="AJ98" s="112"/>
      <c r="AK98" s="112"/>
      <c r="AL98" s="112"/>
      <c r="AM98" s="112"/>
      <c r="AN98" s="112"/>
      <c r="AO98" s="112"/>
      <c r="AP98" s="112"/>
      <c r="AQ98" s="112"/>
      <c r="AS98" s="20"/>
      <c r="AT98" s="20"/>
      <c r="AU98" s="20"/>
      <c r="AV98" s="20"/>
      <c r="AW98" s="20"/>
      <c r="AX98" s="20"/>
      <c r="AY98" s="20"/>
      <c r="AZ98" s="20"/>
    </row>
    <row r="99" ht="12.0" customHeight="1">
      <c r="A99" s="112"/>
      <c r="B99" s="112"/>
      <c r="C99" s="112"/>
      <c r="D99" s="112"/>
      <c r="E99" s="112"/>
      <c r="F99" s="112"/>
      <c r="G99" s="112"/>
      <c r="H99" s="112"/>
      <c r="I99" s="126"/>
      <c r="J99" s="112"/>
      <c r="K99" s="112"/>
      <c r="L99" s="112"/>
      <c r="M99" s="112"/>
      <c r="N99" s="112"/>
      <c r="O99" s="112"/>
      <c r="P99" s="112"/>
      <c r="Q99" s="112"/>
      <c r="R99" s="112"/>
      <c r="S99" s="112"/>
      <c r="T99" s="112"/>
      <c r="U99" s="112"/>
      <c r="V99" s="112"/>
      <c r="W99" s="112"/>
      <c r="X99" s="112"/>
      <c r="Y99" s="112"/>
      <c r="Z99" s="112"/>
      <c r="AA99" s="112"/>
      <c r="AB99" s="112"/>
      <c r="AC99" s="112"/>
      <c r="AD99" s="112"/>
      <c r="AE99" s="112"/>
      <c r="AF99" s="112"/>
      <c r="AG99" s="112"/>
      <c r="AH99" s="112"/>
      <c r="AI99" s="112"/>
      <c r="AJ99" s="112"/>
      <c r="AK99" s="112"/>
      <c r="AL99" s="112"/>
      <c r="AM99" s="112"/>
      <c r="AN99" s="112"/>
      <c r="AO99" s="112"/>
      <c r="AP99" s="112"/>
      <c r="AQ99" s="112"/>
      <c r="AS99" s="20"/>
      <c r="AT99" s="20"/>
      <c r="AU99" s="20"/>
      <c r="AV99" s="20"/>
      <c r="AW99" s="20"/>
      <c r="AX99" s="20"/>
      <c r="AY99" s="20"/>
      <c r="AZ99" s="20"/>
    </row>
    <row r="100" ht="12.0" customHeight="1">
      <c r="A100" s="112"/>
      <c r="B100" s="112"/>
      <c r="C100" s="112"/>
      <c r="D100" s="112"/>
      <c r="E100" s="112"/>
      <c r="F100" s="112"/>
      <c r="G100" s="112"/>
      <c r="H100" s="112"/>
      <c r="I100" s="126"/>
      <c r="J100" s="112"/>
      <c r="K100" s="112"/>
      <c r="L100" s="112"/>
      <c r="M100" s="112"/>
      <c r="N100" s="112"/>
      <c r="O100" s="112"/>
      <c r="P100" s="112"/>
      <c r="Q100" s="112"/>
      <c r="R100" s="112"/>
      <c r="S100" s="112"/>
      <c r="T100" s="112"/>
      <c r="U100" s="112"/>
      <c r="V100" s="112"/>
      <c r="W100" s="112"/>
      <c r="X100" s="112"/>
      <c r="Y100" s="112"/>
      <c r="Z100" s="112"/>
      <c r="AA100" s="112"/>
      <c r="AB100" s="112"/>
      <c r="AC100" s="112"/>
      <c r="AD100" s="112"/>
      <c r="AE100" s="112"/>
      <c r="AF100" s="112"/>
      <c r="AG100" s="112"/>
      <c r="AH100" s="112"/>
      <c r="AI100" s="112"/>
      <c r="AJ100" s="112"/>
      <c r="AK100" s="112"/>
      <c r="AL100" s="112"/>
      <c r="AM100" s="112"/>
      <c r="AN100" s="112"/>
      <c r="AO100" s="112"/>
      <c r="AP100" s="112"/>
      <c r="AQ100" s="112"/>
      <c r="AS100" s="20"/>
      <c r="AT100" s="20"/>
      <c r="AU100" s="20"/>
      <c r="AV100" s="20"/>
      <c r="AW100" s="20"/>
      <c r="AX100" s="20"/>
      <c r="AY100" s="20"/>
      <c r="AZ100" s="20"/>
    </row>
    <row r="101" ht="12.0" customHeight="1">
      <c r="A101" s="112"/>
      <c r="B101" s="112"/>
      <c r="C101" s="112"/>
      <c r="D101" s="112"/>
      <c r="E101" s="112"/>
      <c r="F101" s="112"/>
      <c r="G101" s="112"/>
      <c r="H101" s="112"/>
      <c r="I101" s="126"/>
      <c r="J101" s="112"/>
      <c r="K101" s="112"/>
      <c r="L101" s="112"/>
      <c r="M101" s="112"/>
      <c r="N101" s="112"/>
      <c r="O101" s="112"/>
      <c r="P101" s="112"/>
      <c r="Q101" s="112"/>
      <c r="R101" s="112"/>
      <c r="S101" s="112"/>
      <c r="T101" s="112"/>
      <c r="U101" s="112"/>
      <c r="V101" s="112"/>
      <c r="W101" s="112"/>
      <c r="X101" s="112"/>
      <c r="Y101" s="112"/>
      <c r="Z101" s="112"/>
      <c r="AA101" s="112"/>
      <c r="AB101" s="112"/>
      <c r="AC101" s="112"/>
      <c r="AD101" s="112"/>
      <c r="AE101" s="112"/>
      <c r="AF101" s="112"/>
      <c r="AG101" s="112"/>
      <c r="AH101" s="112"/>
      <c r="AI101" s="112"/>
      <c r="AJ101" s="112"/>
      <c r="AK101" s="112"/>
      <c r="AL101" s="112"/>
      <c r="AM101" s="112"/>
      <c r="AN101" s="112"/>
      <c r="AO101" s="112"/>
      <c r="AP101" s="112"/>
      <c r="AQ101" s="112"/>
      <c r="AS101" s="20"/>
      <c r="AT101" s="20"/>
      <c r="AU101" s="20"/>
      <c r="AV101" s="20"/>
      <c r="AW101" s="20"/>
      <c r="AX101" s="20"/>
      <c r="AY101" s="20"/>
      <c r="AZ101" s="20"/>
    </row>
    <row r="102" ht="12.0" customHeight="1">
      <c r="A102" s="112"/>
      <c r="B102" s="112"/>
      <c r="C102" s="112"/>
      <c r="D102" s="112"/>
      <c r="E102" s="112"/>
      <c r="F102" s="112"/>
      <c r="G102" s="112"/>
      <c r="H102" s="112"/>
      <c r="I102" s="126"/>
      <c r="J102" s="112"/>
      <c r="K102" s="112"/>
      <c r="L102" s="112"/>
      <c r="M102" s="112"/>
      <c r="N102" s="112"/>
      <c r="O102" s="112"/>
      <c r="P102" s="112"/>
      <c r="Q102" s="112"/>
      <c r="R102" s="112"/>
      <c r="S102" s="112"/>
      <c r="T102" s="112"/>
      <c r="U102" s="112"/>
      <c r="V102" s="112"/>
      <c r="W102" s="112"/>
      <c r="X102" s="112"/>
      <c r="Y102" s="112"/>
      <c r="Z102" s="112"/>
      <c r="AA102" s="112"/>
      <c r="AB102" s="112"/>
      <c r="AC102" s="112"/>
      <c r="AD102" s="112"/>
      <c r="AE102" s="112"/>
      <c r="AF102" s="112"/>
      <c r="AG102" s="112"/>
      <c r="AH102" s="112"/>
      <c r="AI102" s="112"/>
      <c r="AJ102" s="112"/>
      <c r="AK102" s="112"/>
      <c r="AL102" s="112"/>
      <c r="AM102" s="112"/>
      <c r="AN102" s="112"/>
      <c r="AO102" s="112"/>
      <c r="AP102" s="112"/>
      <c r="AQ102" s="112"/>
      <c r="AS102" s="20"/>
      <c r="AT102" s="20"/>
      <c r="AU102" s="20"/>
      <c r="AV102" s="20"/>
      <c r="AW102" s="20"/>
      <c r="AX102" s="20"/>
      <c r="AY102" s="20"/>
      <c r="AZ102" s="20"/>
    </row>
    <row r="103" ht="12.0" customHeight="1">
      <c r="A103" s="112"/>
      <c r="B103" s="112"/>
      <c r="C103" s="112"/>
      <c r="D103" s="112"/>
      <c r="E103" s="112"/>
      <c r="F103" s="112"/>
      <c r="G103" s="112"/>
      <c r="H103" s="112"/>
      <c r="I103" s="126"/>
      <c r="J103" s="112"/>
      <c r="K103" s="112"/>
      <c r="L103" s="112"/>
      <c r="M103" s="112"/>
      <c r="N103" s="112"/>
      <c r="O103" s="112"/>
      <c r="P103" s="112"/>
      <c r="Q103" s="112"/>
      <c r="R103" s="112"/>
      <c r="S103" s="112"/>
      <c r="T103" s="112"/>
      <c r="U103" s="112"/>
      <c r="V103" s="112"/>
      <c r="W103" s="112"/>
      <c r="X103" s="112"/>
      <c r="Y103" s="112"/>
      <c r="Z103" s="112"/>
      <c r="AA103" s="112"/>
      <c r="AB103" s="112"/>
      <c r="AC103" s="112"/>
      <c r="AD103" s="112"/>
      <c r="AE103" s="112"/>
      <c r="AF103" s="112"/>
      <c r="AG103" s="112"/>
      <c r="AH103" s="112"/>
      <c r="AI103" s="112"/>
      <c r="AJ103" s="112"/>
      <c r="AK103" s="112"/>
      <c r="AL103" s="112"/>
      <c r="AM103" s="112"/>
      <c r="AN103" s="112"/>
      <c r="AO103" s="112"/>
      <c r="AP103" s="112"/>
      <c r="AQ103" s="112"/>
      <c r="AS103" s="20"/>
      <c r="AT103" s="20"/>
      <c r="AU103" s="20"/>
      <c r="AV103" s="20"/>
      <c r="AW103" s="20"/>
      <c r="AX103" s="20"/>
      <c r="AY103" s="20"/>
      <c r="AZ103" s="20"/>
    </row>
    <row r="104" ht="12.0" customHeight="1">
      <c r="A104" s="112"/>
      <c r="B104" s="112"/>
      <c r="C104" s="112"/>
      <c r="D104" s="112"/>
      <c r="E104" s="112"/>
      <c r="F104" s="112"/>
      <c r="G104" s="112"/>
      <c r="H104" s="112"/>
      <c r="I104" s="126"/>
      <c r="J104" s="112"/>
      <c r="K104" s="112"/>
      <c r="L104" s="112"/>
      <c r="M104" s="112"/>
      <c r="N104" s="112"/>
      <c r="O104" s="112"/>
      <c r="P104" s="112"/>
      <c r="Q104" s="112"/>
      <c r="R104" s="112"/>
      <c r="S104" s="112"/>
      <c r="T104" s="112"/>
      <c r="U104" s="112"/>
      <c r="V104" s="112"/>
      <c r="W104" s="112"/>
      <c r="X104" s="112"/>
      <c r="Y104" s="112"/>
      <c r="Z104" s="112"/>
      <c r="AA104" s="112"/>
      <c r="AB104" s="112"/>
      <c r="AC104" s="112"/>
      <c r="AD104" s="112"/>
      <c r="AE104" s="112"/>
      <c r="AF104" s="112"/>
      <c r="AG104" s="112"/>
      <c r="AH104" s="112"/>
      <c r="AI104" s="112"/>
      <c r="AJ104" s="112"/>
      <c r="AK104" s="112"/>
      <c r="AL104" s="112"/>
      <c r="AM104" s="112"/>
      <c r="AN104" s="112"/>
      <c r="AO104" s="112"/>
      <c r="AP104" s="112"/>
      <c r="AQ104" s="112"/>
      <c r="AS104" s="20"/>
      <c r="AT104" s="20"/>
      <c r="AU104" s="20"/>
      <c r="AV104" s="20"/>
      <c r="AW104" s="20"/>
      <c r="AX104" s="20"/>
      <c r="AY104" s="20"/>
      <c r="AZ104" s="20"/>
    </row>
    <row r="105" ht="12.0" customHeight="1">
      <c r="A105" s="112"/>
      <c r="B105" s="112"/>
      <c r="C105" s="112"/>
      <c r="D105" s="112"/>
      <c r="E105" s="112"/>
      <c r="F105" s="112"/>
      <c r="G105" s="112"/>
      <c r="H105" s="112"/>
      <c r="I105" s="126"/>
      <c r="J105" s="112"/>
      <c r="K105" s="112"/>
      <c r="L105" s="112"/>
      <c r="M105" s="112"/>
      <c r="N105" s="112"/>
      <c r="O105" s="112"/>
      <c r="P105" s="112"/>
      <c r="Q105" s="112"/>
      <c r="R105" s="112"/>
      <c r="S105" s="112"/>
      <c r="T105" s="112"/>
      <c r="U105" s="112"/>
      <c r="V105" s="112"/>
      <c r="W105" s="112"/>
      <c r="X105" s="112"/>
      <c r="Y105" s="112"/>
      <c r="Z105" s="112"/>
      <c r="AA105" s="112"/>
      <c r="AB105" s="112"/>
      <c r="AC105" s="112"/>
      <c r="AD105" s="112"/>
      <c r="AE105" s="112"/>
      <c r="AF105" s="112"/>
      <c r="AG105" s="112"/>
      <c r="AH105" s="112"/>
      <c r="AI105" s="112"/>
      <c r="AJ105" s="112"/>
      <c r="AK105" s="112"/>
      <c r="AL105" s="112"/>
      <c r="AM105" s="112"/>
      <c r="AN105" s="112"/>
      <c r="AO105" s="112"/>
      <c r="AP105" s="112"/>
      <c r="AQ105" s="112"/>
      <c r="AS105" s="20"/>
      <c r="AT105" s="20"/>
      <c r="AU105" s="20"/>
      <c r="AV105" s="20"/>
      <c r="AW105" s="20"/>
      <c r="AX105" s="20"/>
      <c r="AY105" s="20"/>
      <c r="AZ105" s="20"/>
    </row>
    <row r="106" ht="12.0" customHeight="1">
      <c r="A106" s="112"/>
      <c r="B106" s="112"/>
      <c r="C106" s="112"/>
      <c r="D106" s="112"/>
      <c r="E106" s="112"/>
      <c r="F106" s="112"/>
      <c r="G106" s="112"/>
      <c r="H106" s="112"/>
      <c r="I106" s="126"/>
      <c r="J106" s="112"/>
      <c r="K106" s="112"/>
      <c r="L106" s="112"/>
      <c r="M106" s="112"/>
      <c r="N106" s="112"/>
      <c r="O106" s="112"/>
      <c r="P106" s="112"/>
      <c r="Q106" s="112"/>
      <c r="R106" s="112"/>
      <c r="S106" s="112"/>
      <c r="T106" s="112"/>
      <c r="U106" s="112"/>
      <c r="V106" s="112"/>
      <c r="W106" s="112"/>
      <c r="X106" s="112"/>
      <c r="Y106" s="112"/>
      <c r="Z106" s="112"/>
      <c r="AA106" s="112"/>
      <c r="AB106" s="112"/>
      <c r="AC106" s="112"/>
      <c r="AD106" s="112"/>
      <c r="AE106" s="112"/>
      <c r="AF106" s="112"/>
      <c r="AG106" s="112"/>
      <c r="AH106" s="112"/>
      <c r="AI106" s="112"/>
      <c r="AJ106" s="112"/>
      <c r="AK106" s="112"/>
      <c r="AL106" s="112"/>
      <c r="AM106" s="112"/>
      <c r="AN106" s="112"/>
      <c r="AO106" s="112"/>
      <c r="AP106" s="112"/>
      <c r="AQ106" s="112"/>
      <c r="AS106" s="20"/>
      <c r="AT106" s="20"/>
      <c r="AU106" s="20"/>
      <c r="AV106" s="20"/>
      <c r="AW106" s="20"/>
      <c r="AX106" s="20"/>
      <c r="AY106" s="20"/>
      <c r="AZ106" s="20"/>
    </row>
    <row r="107" ht="12.0" customHeight="1">
      <c r="A107" s="112"/>
      <c r="B107" s="112"/>
      <c r="C107" s="112"/>
      <c r="D107" s="112"/>
      <c r="E107" s="112"/>
      <c r="F107" s="112"/>
      <c r="G107" s="112"/>
      <c r="H107" s="112"/>
      <c r="I107" s="126"/>
      <c r="J107" s="112"/>
      <c r="K107" s="112"/>
      <c r="L107" s="112"/>
      <c r="M107" s="112"/>
      <c r="N107" s="112"/>
      <c r="O107" s="112"/>
      <c r="P107" s="112"/>
      <c r="Q107" s="112"/>
      <c r="R107" s="112"/>
      <c r="S107" s="112"/>
      <c r="T107" s="112"/>
      <c r="U107" s="112"/>
      <c r="V107" s="112"/>
      <c r="W107" s="112"/>
      <c r="X107" s="112"/>
      <c r="Y107" s="112"/>
      <c r="Z107" s="112"/>
      <c r="AA107" s="112"/>
      <c r="AB107" s="112"/>
      <c r="AC107" s="112"/>
      <c r="AD107" s="112"/>
      <c r="AE107" s="112"/>
      <c r="AF107" s="112"/>
      <c r="AG107" s="112"/>
      <c r="AH107" s="112"/>
      <c r="AI107" s="112"/>
      <c r="AJ107" s="112"/>
      <c r="AK107" s="112"/>
      <c r="AL107" s="112"/>
      <c r="AM107" s="112"/>
      <c r="AN107" s="112"/>
      <c r="AO107" s="112"/>
      <c r="AP107" s="112"/>
      <c r="AQ107" s="112"/>
      <c r="AS107" s="20"/>
      <c r="AT107" s="20"/>
      <c r="AU107" s="20"/>
      <c r="AV107" s="20"/>
      <c r="AW107" s="20"/>
      <c r="AX107" s="20"/>
      <c r="AY107" s="20"/>
      <c r="AZ107" s="20"/>
    </row>
    <row r="108" ht="12.0" customHeight="1">
      <c r="A108" s="112"/>
      <c r="B108" s="112"/>
      <c r="C108" s="112"/>
      <c r="D108" s="112"/>
      <c r="E108" s="112"/>
      <c r="F108" s="112"/>
      <c r="G108" s="112"/>
      <c r="H108" s="112"/>
      <c r="I108" s="126"/>
      <c r="J108" s="112"/>
      <c r="K108" s="112"/>
      <c r="L108" s="112"/>
      <c r="M108" s="112"/>
      <c r="N108" s="112"/>
      <c r="O108" s="112"/>
      <c r="P108" s="112"/>
      <c r="Q108" s="112"/>
      <c r="R108" s="112"/>
      <c r="S108" s="112"/>
      <c r="T108" s="112"/>
      <c r="U108" s="112"/>
      <c r="V108" s="112"/>
      <c r="W108" s="112"/>
      <c r="X108" s="112"/>
      <c r="Y108" s="112"/>
      <c r="Z108" s="112"/>
      <c r="AA108" s="112"/>
      <c r="AB108" s="112"/>
      <c r="AC108" s="112"/>
      <c r="AD108" s="112"/>
      <c r="AE108" s="112"/>
      <c r="AF108" s="112"/>
      <c r="AG108" s="112"/>
      <c r="AH108" s="112"/>
      <c r="AI108" s="112"/>
      <c r="AJ108" s="112"/>
      <c r="AK108" s="112"/>
      <c r="AL108" s="112"/>
      <c r="AM108" s="112"/>
      <c r="AN108" s="112"/>
      <c r="AO108" s="112"/>
      <c r="AP108" s="112"/>
      <c r="AQ108" s="112"/>
      <c r="AS108" s="20"/>
      <c r="AT108" s="20"/>
      <c r="AU108" s="20"/>
      <c r="AV108" s="20"/>
      <c r="AW108" s="20"/>
      <c r="AX108" s="20"/>
      <c r="AY108" s="20"/>
      <c r="AZ108" s="20"/>
    </row>
    <row r="109" ht="12.0" customHeight="1">
      <c r="A109" s="112"/>
      <c r="B109" s="112"/>
      <c r="C109" s="112"/>
      <c r="D109" s="112"/>
      <c r="E109" s="112"/>
      <c r="F109" s="112"/>
      <c r="G109" s="112"/>
      <c r="H109" s="112"/>
      <c r="I109" s="126"/>
      <c r="J109" s="112"/>
      <c r="K109" s="112"/>
      <c r="L109" s="112"/>
      <c r="M109" s="112"/>
      <c r="N109" s="112"/>
      <c r="O109" s="112"/>
      <c r="P109" s="112"/>
      <c r="Q109" s="112"/>
      <c r="R109" s="112"/>
      <c r="S109" s="112"/>
      <c r="T109" s="112"/>
      <c r="U109" s="112"/>
      <c r="V109" s="112"/>
      <c r="W109" s="112"/>
      <c r="X109" s="112"/>
      <c r="Y109" s="112"/>
      <c r="Z109" s="112"/>
      <c r="AA109" s="112"/>
      <c r="AB109" s="112"/>
      <c r="AC109" s="112"/>
      <c r="AD109" s="112"/>
      <c r="AE109" s="112"/>
      <c r="AF109" s="112"/>
      <c r="AG109" s="112"/>
      <c r="AH109" s="112"/>
      <c r="AI109" s="112"/>
      <c r="AJ109" s="112"/>
      <c r="AK109" s="112"/>
      <c r="AL109" s="112"/>
      <c r="AM109" s="112"/>
      <c r="AN109" s="112"/>
      <c r="AO109" s="112"/>
      <c r="AP109" s="112"/>
      <c r="AQ109" s="112"/>
      <c r="AS109" s="20"/>
      <c r="AT109" s="20"/>
      <c r="AU109" s="20"/>
      <c r="AV109" s="20"/>
      <c r="AW109" s="20"/>
      <c r="AX109" s="20"/>
      <c r="AY109" s="20"/>
      <c r="AZ109" s="20"/>
    </row>
    <row r="110" ht="12.0" customHeight="1">
      <c r="A110" s="112"/>
      <c r="B110" s="112"/>
      <c r="C110" s="112"/>
      <c r="D110" s="112"/>
      <c r="E110" s="112"/>
      <c r="F110" s="112"/>
      <c r="G110" s="112"/>
      <c r="H110" s="112"/>
      <c r="I110" s="126"/>
      <c r="J110" s="112"/>
      <c r="K110" s="112"/>
      <c r="L110" s="112"/>
      <c r="M110" s="112"/>
      <c r="N110" s="112"/>
      <c r="O110" s="112"/>
      <c r="P110" s="112"/>
      <c r="Q110" s="112"/>
      <c r="R110" s="112"/>
      <c r="S110" s="112"/>
      <c r="T110" s="112"/>
      <c r="U110" s="112"/>
      <c r="V110" s="112"/>
      <c r="W110" s="112"/>
      <c r="X110" s="112"/>
      <c r="Y110" s="112"/>
      <c r="Z110" s="112"/>
      <c r="AA110" s="112"/>
      <c r="AB110" s="112"/>
      <c r="AC110" s="112"/>
      <c r="AD110" s="112"/>
      <c r="AE110" s="112"/>
      <c r="AF110" s="112"/>
      <c r="AG110" s="112"/>
      <c r="AH110" s="112"/>
      <c r="AI110" s="112"/>
      <c r="AJ110" s="112"/>
      <c r="AK110" s="112"/>
      <c r="AL110" s="112"/>
      <c r="AM110" s="112"/>
      <c r="AN110" s="112"/>
      <c r="AO110" s="112"/>
      <c r="AP110" s="112"/>
      <c r="AQ110" s="112"/>
      <c r="AS110" s="20"/>
      <c r="AT110" s="20"/>
      <c r="AU110" s="20"/>
      <c r="AV110" s="20"/>
      <c r="AW110" s="20"/>
      <c r="AX110" s="20"/>
      <c r="AY110" s="20"/>
      <c r="AZ110" s="20"/>
    </row>
    <row r="111" ht="12.0" customHeight="1">
      <c r="A111" s="112"/>
      <c r="B111" s="112"/>
      <c r="C111" s="112"/>
      <c r="D111" s="112"/>
      <c r="E111" s="112"/>
      <c r="F111" s="112"/>
      <c r="G111" s="112"/>
      <c r="H111" s="112"/>
      <c r="I111" s="126"/>
      <c r="J111" s="112"/>
      <c r="K111" s="112"/>
      <c r="L111" s="112"/>
      <c r="M111" s="112"/>
      <c r="N111" s="112"/>
      <c r="O111" s="112"/>
      <c r="P111" s="112"/>
      <c r="Q111" s="112"/>
      <c r="R111" s="112"/>
      <c r="S111" s="112"/>
      <c r="T111" s="112"/>
      <c r="U111" s="112"/>
      <c r="V111" s="112"/>
      <c r="W111" s="112"/>
      <c r="X111" s="112"/>
      <c r="Y111" s="112"/>
      <c r="Z111" s="112"/>
      <c r="AA111" s="112"/>
      <c r="AB111" s="112"/>
      <c r="AC111" s="112"/>
      <c r="AD111" s="112"/>
      <c r="AE111" s="112"/>
      <c r="AF111" s="112"/>
      <c r="AG111" s="112"/>
      <c r="AH111" s="112"/>
      <c r="AI111" s="112"/>
      <c r="AJ111" s="112"/>
      <c r="AK111" s="112"/>
      <c r="AL111" s="112"/>
      <c r="AM111" s="112"/>
      <c r="AN111" s="112"/>
      <c r="AO111" s="112"/>
      <c r="AP111" s="112"/>
      <c r="AQ111" s="112"/>
      <c r="AS111" s="20"/>
      <c r="AT111" s="20"/>
      <c r="AU111" s="20"/>
      <c r="AV111" s="20"/>
      <c r="AW111" s="20"/>
      <c r="AX111" s="20"/>
      <c r="AY111" s="20"/>
      <c r="AZ111" s="20"/>
    </row>
    <row r="112" ht="12.0" customHeight="1">
      <c r="A112" s="112"/>
      <c r="B112" s="112"/>
      <c r="C112" s="112"/>
      <c r="D112" s="112"/>
      <c r="E112" s="112"/>
      <c r="F112" s="112"/>
      <c r="G112" s="112"/>
      <c r="H112" s="112"/>
      <c r="I112" s="126"/>
      <c r="J112" s="112"/>
      <c r="K112" s="112"/>
      <c r="L112" s="112"/>
      <c r="M112" s="112"/>
      <c r="N112" s="112"/>
      <c r="O112" s="112"/>
      <c r="P112" s="112"/>
      <c r="Q112" s="112"/>
      <c r="R112" s="112"/>
      <c r="S112" s="112"/>
      <c r="T112" s="112"/>
      <c r="U112" s="112"/>
      <c r="V112" s="112"/>
      <c r="W112" s="112"/>
      <c r="X112" s="112"/>
      <c r="Y112" s="112"/>
      <c r="Z112" s="112"/>
      <c r="AA112" s="112"/>
      <c r="AB112" s="112"/>
      <c r="AC112" s="112"/>
      <c r="AD112" s="112"/>
      <c r="AE112" s="112"/>
      <c r="AF112" s="112"/>
      <c r="AG112" s="112"/>
      <c r="AH112" s="112"/>
      <c r="AI112" s="112"/>
      <c r="AJ112" s="112"/>
      <c r="AK112" s="112"/>
      <c r="AL112" s="112"/>
      <c r="AM112" s="112"/>
      <c r="AN112" s="112"/>
      <c r="AO112" s="112"/>
      <c r="AP112" s="112"/>
      <c r="AQ112" s="112"/>
      <c r="AS112" s="20"/>
      <c r="AT112" s="20"/>
      <c r="AU112" s="20"/>
      <c r="AV112" s="20"/>
      <c r="AW112" s="20"/>
      <c r="AX112" s="20"/>
      <c r="AY112" s="20"/>
      <c r="AZ112" s="20"/>
    </row>
    <row r="113" ht="12.0" customHeight="1">
      <c r="A113" s="112"/>
      <c r="B113" s="112"/>
      <c r="C113" s="112"/>
      <c r="D113" s="112"/>
      <c r="E113" s="112"/>
      <c r="F113" s="112"/>
      <c r="G113" s="112"/>
      <c r="H113" s="112"/>
      <c r="I113" s="126"/>
      <c r="J113" s="112"/>
      <c r="K113" s="112"/>
      <c r="L113" s="112"/>
      <c r="M113" s="112"/>
      <c r="N113" s="112"/>
      <c r="O113" s="112"/>
      <c r="P113" s="112"/>
      <c r="Q113" s="112"/>
      <c r="R113" s="112"/>
      <c r="S113" s="112"/>
      <c r="T113" s="112"/>
      <c r="U113" s="112"/>
      <c r="V113" s="112"/>
      <c r="W113" s="112"/>
      <c r="X113" s="112"/>
      <c r="Y113" s="112"/>
      <c r="Z113" s="112"/>
      <c r="AA113" s="112"/>
      <c r="AB113" s="112"/>
      <c r="AC113" s="112"/>
      <c r="AD113" s="112"/>
      <c r="AE113" s="112"/>
      <c r="AF113" s="112"/>
      <c r="AG113" s="112"/>
      <c r="AH113" s="112"/>
      <c r="AI113" s="112"/>
      <c r="AJ113" s="112"/>
      <c r="AK113" s="112"/>
      <c r="AL113" s="112"/>
      <c r="AM113" s="112"/>
      <c r="AN113" s="112"/>
      <c r="AO113" s="112"/>
      <c r="AP113" s="112"/>
      <c r="AQ113" s="112"/>
      <c r="AS113" s="20"/>
      <c r="AT113" s="20"/>
      <c r="AU113" s="20"/>
      <c r="AV113" s="20"/>
      <c r="AW113" s="20"/>
      <c r="AX113" s="20"/>
      <c r="AY113" s="20"/>
      <c r="AZ113" s="20"/>
    </row>
    <row r="114" ht="12.0" customHeight="1">
      <c r="A114" s="112"/>
      <c r="B114" s="112"/>
      <c r="C114" s="112"/>
      <c r="D114" s="112"/>
      <c r="E114" s="112"/>
      <c r="F114" s="112"/>
      <c r="G114" s="112"/>
      <c r="H114" s="112"/>
      <c r="I114" s="126"/>
      <c r="J114" s="112"/>
      <c r="K114" s="112"/>
      <c r="L114" s="112"/>
      <c r="M114" s="112"/>
      <c r="N114" s="112"/>
      <c r="O114" s="112"/>
      <c r="P114" s="112"/>
      <c r="Q114" s="112"/>
      <c r="R114" s="112"/>
      <c r="S114" s="112"/>
      <c r="T114" s="112"/>
      <c r="U114" s="112"/>
      <c r="V114" s="112"/>
      <c r="W114" s="112"/>
      <c r="X114" s="112"/>
      <c r="Y114" s="112"/>
      <c r="Z114" s="112"/>
      <c r="AA114" s="112"/>
      <c r="AB114" s="112"/>
      <c r="AC114" s="112"/>
      <c r="AD114" s="112"/>
      <c r="AE114" s="112"/>
      <c r="AF114" s="112"/>
      <c r="AG114" s="112"/>
      <c r="AH114" s="112"/>
      <c r="AI114" s="112"/>
      <c r="AJ114" s="112"/>
      <c r="AK114" s="112"/>
      <c r="AL114" s="112"/>
      <c r="AM114" s="112"/>
      <c r="AN114" s="112"/>
      <c r="AO114" s="112"/>
      <c r="AP114" s="112"/>
      <c r="AQ114" s="112"/>
      <c r="AS114" s="20"/>
      <c r="AT114" s="20"/>
      <c r="AU114" s="20"/>
      <c r="AV114" s="20"/>
      <c r="AW114" s="20"/>
      <c r="AX114" s="20"/>
      <c r="AY114" s="20"/>
      <c r="AZ114" s="20"/>
    </row>
    <row r="115" ht="12.0" customHeight="1">
      <c r="A115" s="112"/>
      <c r="B115" s="112"/>
      <c r="C115" s="112"/>
      <c r="D115" s="112"/>
      <c r="E115" s="112"/>
      <c r="F115" s="112"/>
      <c r="G115" s="112"/>
      <c r="H115" s="112"/>
      <c r="I115" s="126"/>
      <c r="J115" s="112"/>
      <c r="K115" s="112"/>
      <c r="L115" s="112"/>
      <c r="M115" s="112"/>
      <c r="N115" s="112"/>
      <c r="O115" s="112"/>
      <c r="P115" s="112"/>
      <c r="Q115" s="112"/>
      <c r="R115" s="112"/>
      <c r="S115" s="112"/>
      <c r="T115" s="112"/>
      <c r="U115" s="112"/>
      <c r="V115" s="112"/>
      <c r="W115" s="112"/>
      <c r="X115" s="112"/>
      <c r="Y115" s="112"/>
      <c r="Z115" s="112"/>
      <c r="AA115" s="112"/>
      <c r="AB115" s="112"/>
      <c r="AC115" s="112"/>
      <c r="AD115" s="112"/>
      <c r="AE115" s="112"/>
      <c r="AF115" s="112"/>
      <c r="AG115" s="112"/>
      <c r="AH115" s="112"/>
      <c r="AI115" s="112"/>
      <c r="AJ115" s="112"/>
      <c r="AK115" s="112"/>
      <c r="AL115" s="112"/>
      <c r="AM115" s="112"/>
      <c r="AN115" s="112"/>
      <c r="AO115" s="112"/>
      <c r="AP115" s="112"/>
      <c r="AQ115" s="112"/>
      <c r="AS115" s="20"/>
      <c r="AT115" s="20"/>
      <c r="AU115" s="20"/>
      <c r="AV115" s="20"/>
      <c r="AW115" s="20"/>
      <c r="AX115" s="20"/>
      <c r="AY115" s="20"/>
      <c r="AZ115" s="20"/>
    </row>
    <row r="116" ht="12.0" customHeight="1">
      <c r="A116" s="112"/>
      <c r="B116" s="112"/>
      <c r="C116" s="112"/>
      <c r="D116" s="112"/>
      <c r="E116" s="112"/>
      <c r="F116" s="112"/>
      <c r="G116" s="112"/>
      <c r="H116" s="112"/>
      <c r="I116" s="126"/>
      <c r="J116" s="112"/>
      <c r="K116" s="112"/>
      <c r="L116" s="112"/>
      <c r="M116" s="112"/>
      <c r="N116" s="112"/>
      <c r="O116" s="112"/>
      <c r="P116" s="112"/>
      <c r="Q116" s="112"/>
      <c r="R116" s="112"/>
      <c r="S116" s="112"/>
      <c r="T116" s="112"/>
      <c r="U116" s="112"/>
      <c r="V116" s="112"/>
      <c r="W116" s="112"/>
      <c r="X116" s="112"/>
      <c r="Y116" s="112"/>
      <c r="Z116" s="112"/>
      <c r="AA116" s="112"/>
      <c r="AB116" s="112"/>
      <c r="AC116" s="112"/>
      <c r="AD116" s="112"/>
      <c r="AE116" s="112"/>
      <c r="AF116" s="112"/>
      <c r="AG116" s="112"/>
      <c r="AH116" s="112"/>
      <c r="AI116" s="112"/>
      <c r="AJ116" s="112"/>
      <c r="AK116" s="112"/>
      <c r="AL116" s="112"/>
      <c r="AM116" s="112"/>
      <c r="AN116" s="112"/>
      <c r="AO116" s="112"/>
      <c r="AP116" s="112"/>
      <c r="AQ116" s="112"/>
      <c r="AS116" s="20"/>
      <c r="AT116" s="20"/>
      <c r="AU116" s="20"/>
      <c r="AV116" s="20"/>
      <c r="AW116" s="20"/>
      <c r="AX116" s="20"/>
      <c r="AY116" s="20"/>
      <c r="AZ116" s="20"/>
    </row>
    <row r="117" ht="12.0" customHeight="1">
      <c r="A117" s="112"/>
      <c r="B117" s="112"/>
      <c r="C117" s="112"/>
      <c r="D117" s="112"/>
      <c r="E117" s="112"/>
      <c r="F117" s="112"/>
      <c r="G117" s="112"/>
      <c r="H117" s="112"/>
      <c r="I117" s="126"/>
      <c r="J117" s="112"/>
      <c r="K117" s="112"/>
      <c r="L117" s="112"/>
      <c r="M117" s="112"/>
      <c r="N117" s="112"/>
      <c r="O117" s="112"/>
      <c r="P117" s="112"/>
      <c r="Q117" s="112"/>
      <c r="R117" s="112"/>
      <c r="S117" s="112"/>
      <c r="T117" s="112"/>
      <c r="U117" s="112"/>
      <c r="V117" s="112"/>
      <c r="W117" s="112"/>
      <c r="X117" s="112"/>
      <c r="Y117" s="112"/>
      <c r="Z117" s="112"/>
      <c r="AA117" s="112"/>
      <c r="AB117" s="112"/>
      <c r="AC117" s="112"/>
      <c r="AD117" s="112"/>
      <c r="AE117" s="112"/>
      <c r="AF117" s="112"/>
      <c r="AG117" s="112"/>
      <c r="AH117" s="112"/>
      <c r="AI117" s="112"/>
      <c r="AJ117" s="112"/>
      <c r="AK117" s="112"/>
      <c r="AL117" s="112"/>
      <c r="AM117" s="112"/>
      <c r="AN117" s="112"/>
      <c r="AO117" s="112"/>
      <c r="AP117" s="112"/>
      <c r="AQ117" s="112"/>
      <c r="AS117" s="20"/>
      <c r="AT117" s="20"/>
      <c r="AU117" s="20"/>
      <c r="AV117" s="20"/>
      <c r="AW117" s="20"/>
      <c r="AX117" s="20"/>
      <c r="AY117" s="20"/>
      <c r="AZ117" s="20"/>
    </row>
    <row r="118" ht="12.0" customHeight="1">
      <c r="A118" s="112"/>
      <c r="B118" s="112"/>
      <c r="C118" s="112"/>
      <c r="D118" s="112"/>
      <c r="E118" s="112"/>
      <c r="F118" s="112"/>
      <c r="G118" s="112"/>
      <c r="H118" s="112"/>
      <c r="I118" s="126"/>
      <c r="J118" s="112"/>
      <c r="K118" s="112"/>
      <c r="L118" s="112"/>
      <c r="M118" s="112"/>
      <c r="N118" s="112"/>
      <c r="O118" s="112"/>
      <c r="P118" s="112"/>
      <c r="Q118" s="112"/>
      <c r="R118" s="112"/>
      <c r="S118" s="112"/>
      <c r="T118" s="112"/>
      <c r="U118" s="112"/>
      <c r="V118" s="112"/>
      <c r="W118" s="112"/>
      <c r="X118" s="112"/>
      <c r="Y118" s="112"/>
      <c r="Z118" s="112"/>
      <c r="AA118" s="112"/>
      <c r="AB118" s="112"/>
      <c r="AC118" s="112"/>
      <c r="AD118" s="112"/>
      <c r="AE118" s="112"/>
      <c r="AF118" s="112"/>
      <c r="AG118" s="112"/>
      <c r="AH118" s="112"/>
      <c r="AI118" s="112"/>
      <c r="AJ118" s="112"/>
      <c r="AK118" s="112"/>
      <c r="AL118" s="112"/>
      <c r="AM118" s="112"/>
      <c r="AN118" s="112"/>
      <c r="AO118" s="112"/>
      <c r="AP118" s="112"/>
      <c r="AQ118" s="112"/>
      <c r="AS118" s="20"/>
      <c r="AT118" s="20"/>
      <c r="AU118" s="20"/>
      <c r="AV118" s="20"/>
      <c r="AW118" s="20"/>
      <c r="AX118" s="20"/>
      <c r="AY118" s="20"/>
      <c r="AZ118" s="20"/>
    </row>
    <row r="119" ht="12.0" customHeight="1">
      <c r="A119" s="112"/>
      <c r="B119" s="112"/>
      <c r="C119" s="112"/>
      <c r="D119" s="112"/>
      <c r="E119" s="112"/>
      <c r="F119" s="112"/>
      <c r="G119" s="112"/>
      <c r="H119" s="112"/>
      <c r="I119" s="126"/>
      <c r="J119" s="112"/>
      <c r="K119" s="112"/>
      <c r="L119" s="112"/>
      <c r="M119" s="112"/>
      <c r="N119" s="112"/>
      <c r="O119" s="112"/>
      <c r="P119" s="112"/>
      <c r="Q119" s="112"/>
      <c r="R119" s="112"/>
      <c r="S119" s="112"/>
      <c r="T119" s="112"/>
      <c r="U119" s="112"/>
      <c r="V119" s="112"/>
      <c r="W119" s="112"/>
      <c r="X119" s="112"/>
      <c r="Y119" s="112"/>
      <c r="Z119" s="112"/>
      <c r="AA119" s="112"/>
      <c r="AB119" s="112"/>
      <c r="AC119" s="112"/>
      <c r="AD119" s="112"/>
      <c r="AE119" s="112"/>
      <c r="AF119" s="112"/>
      <c r="AG119" s="112"/>
      <c r="AH119" s="112"/>
      <c r="AI119" s="112"/>
      <c r="AJ119" s="112"/>
      <c r="AK119" s="112"/>
      <c r="AL119" s="112"/>
      <c r="AM119" s="112"/>
      <c r="AN119" s="112"/>
      <c r="AO119" s="112"/>
      <c r="AP119" s="112"/>
      <c r="AQ119" s="112"/>
      <c r="AS119" s="20"/>
      <c r="AT119" s="20"/>
      <c r="AU119" s="20"/>
      <c r="AV119" s="20"/>
      <c r="AW119" s="20"/>
      <c r="AX119" s="20"/>
      <c r="AY119" s="20"/>
      <c r="AZ119" s="20"/>
    </row>
    <row r="120" ht="12.0" customHeight="1">
      <c r="A120" s="112"/>
      <c r="B120" s="112"/>
      <c r="C120" s="112"/>
      <c r="D120" s="112"/>
      <c r="E120" s="112"/>
      <c r="F120" s="112"/>
      <c r="G120" s="112"/>
      <c r="H120" s="112"/>
      <c r="I120" s="126"/>
      <c r="J120" s="112"/>
      <c r="K120" s="112"/>
      <c r="L120" s="112"/>
      <c r="M120" s="112"/>
      <c r="N120" s="112"/>
      <c r="O120" s="112"/>
      <c r="P120" s="112"/>
      <c r="Q120" s="112"/>
      <c r="R120" s="112"/>
      <c r="S120" s="112"/>
      <c r="T120" s="112"/>
      <c r="U120" s="112"/>
      <c r="V120" s="112"/>
      <c r="W120" s="112"/>
      <c r="X120" s="112"/>
      <c r="Y120" s="112"/>
      <c r="Z120" s="112"/>
      <c r="AA120" s="112"/>
      <c r="AB120" s="112"/>
      <c r="AC120" s="112"/>
      <c r="AD120" s="112"/>
      <c r="AE120" s="112"/>
      <c r="AF120" s="112"/>
      <c r="AG120" s="112"/>
      <c r="AH120" s="112"/>
      <c r="AI120" s="112"/>
      <c r="AJ120" s="112"/>
      <c r="AK120" s="112"/>
      <c r="AL120" s="112"/>
      <c r="AM120" s="112"/>
      <c r="AN120" s="112"/>
      <c r="AO120" s="112"/>
      <c r="AP120" s="112"/>
      <c r="AQ120" s="112"/>
      <c r="AS120" s="20"/>
      <c r="AT120" s="20"/>
      <c r="AU120" s="20"/>
      <c r="AV120" s="20"/>
      <c r="AW120" s="20"/>
      <c r="AX120" s="20"/>
      <c r="AY120" s="20"/>
      <c r="AZ120" s="20"/>
    </row>
    <row r="121" ht="12.0" customHeight="1">
      <c r="A121" s="112"/>
      <c r="B121" s="112"/>
      <c r="C121" s="112"/>
      <c r="D121" s="112"/>
      <c r="E121" s="112"/>
      <c r="F121" s="112"/>
      <c r="G121" s="112"/>
      <c r="H121" s="112"/>
      <c r="I121" s="126"/>
      <c r="J121" s="112"/>
      <c r="K121" s="112"/>
      <c r="L121" s="112"/>
      <c r="M121" s="112"/>
      <c r="N121" s="112"/>
      <c r="O121" s="112"/>
      <c r="P121" s="112"/>
      <c r="Q121" s="112"/>
      <c r="R121" s="112"/>
      <c r="S121" s="112"/>
      <c r="T121" s="112"/>
      <c r="U121" s="112"/>
      <c r="V121" s="112"/>
      <c r="W121" s="112"/>
      <c r="X121" s="112"/>
      <c r="Y121" s="112"/>
      <c r="Z121" s="112"/>
      <c r="AA121" s="112"/>
      <c r="AB121" s="112"/>
      <c r="AC121" s="112"/>
      <c r="AD121" s="112"/>
      <c r="AE121" s="112"/>
      <c r="AF121" s="112"/>
      <c r="AG121" s="112"/>
      <c r="AH121" s="112"/>
      <c r="AI121" s="112"/>
      <c r="AJ121" s="112"/>
      <c r="AK121" s="112"/>
      <c r="AL121" s="112"/>
      <c r="AM121" s="112"/>
      <c r="AN121" s="112"/>
      <c r="AO121" s="112"/>
      <c r="AP121" s="112"/>
      <c r="AQ121" s="112"/>
      <c r="AS121" s="20"/>
      <c r="AT121" s="20"/>
      <c r="AU121" s="20"/>
      <c r="AV121" s="20"/>
      <c r="AW121" s="20"/>
      <c r="AX121" s="20"/>
      <c r="AY121" s="20"/>
      <c r="AZ121" s="20"/>
    </row>
    <row r="122" ht="12.0" customHeight="1">
      <c r="A122" s="112"/>
      <c r="B122" s="112"/>
      <c r="C122" s="112"/>
      <c r="D122" s="112"/>
      <c r="E122" s="112"/>
      <c r="F122" s="112"/>
      <c r="G122" s="112"/>
      <c r="H122" s="112"/>
      <c r="I122" s="126"/>
      <c r="J122" s="112"/>
      <c r="K122" s="112"/>
      <c r="L122" s="112"/>
      <c r="M122" s="112"/>
      <c r="N122" s="112"/>
      <c r="O122" s="112"/>
      <c r="P122" s="112"/>
      <c r="Q122" s="112"/>
      <c r="R122" s="112"/>
      <c r="S122" s="112"/>
      <c r="T122" s="112"/>
      <c r="U122" s="112"/>
      <c r="V122" s="112"/>
      <c r="W122" s="112"/>
      <c r="X122" s="112"/>
      <c r="Y122" s="112"/>
      <c r="Z122" s="112"/>
      <c r="AA122" s="112"/>
      <c r="AB122" s="112"/>
      <c r="AC122" s="112"/>
      <c r="AD122" s="112"/>
      <c r="AE122" s="112"/>
      <c r="AF122" s="112"/>
      <c r="AG122" s="112"/>
      <c r="AH122" s="112"/>
      <c r="AI122" s="112"/>
      <c r="AJ122" s="112"/>
      <c r="AK122" s="112"/>
      <c r="AL122" s="112"/>
      <c r="AM122" s="112"/>
      <c r="AN122" s="112"/>
      <c r="AO122" s="112"/>
      <c r="AP122" s="112"/>
      <c r="AQ122" s="112"/>
      <c r="AS122" s="20"/>
      <c r="AT122" s="20"/>
      <c r="AU122" s="20"/>
      <c r="AV122" s="20"/>
      <c r="AW122" s="20"/>
      <c r="AX122" s="20"/>
      <c r="AY122" s="20"/>
      <c r="AZ122" s="20"/>
    </row>
    <row r="123" ht="12.0" customHeight="1">
      <c r="A123" s="112"/>
      <c r="B123" s="112"/>
      <c r="C123" s="112"/>
      <c r="D123" s="112"/>
      <c r="E123" s="112"/>
      <c r="F123" s="112"/>
      <c r="G123" s="112"/>
      <c r="H123" s="112"/>
      <c r="I123" s="126"/>
      <c r="J123" s="112"/>
      <c r="K123" s="112"/>
      <c r="L123" s="112"/>
      <c r="M123" s="112"/>
      <c r="N123" s="112"/>
      <c r="O123" s="112"/>
      <c r="P123" s="112"/>
      <c r="Q123" s="112"/>
      <c r="R123" s="112"/>
      <c r="S123" s="112"/>
      <c r="T123" s="112"/>
      <c r="U123" s="112"/>
      <c r="V123" s="112"/>
      <c r="W123" s="112"/>
      <c r="X123" s="112"/>
      <c r="Y123" s="112"/>
      <c r="Z123" s="112"/>
      <c r="AA123" s="112"/>
      <c r="AB123" s="112"/>
      <c r="AC123" s="112"/>
      <c r="AD123" s="112"/>
      <c r="AE123" s="112"/>
      <c r="AF123" s="112"/>
      <c r="AG123" s="112"/>
      <c r="AH123" s="112"/>
      <c r="AI123" s="112"/>
      <c r="AJ123" s="112"/>
      <c r="AK123" s="112"/>
      <c r="AL123" s="112"/>
      <c r="AM123" s="112"/>
      <c r="AN123" s="112"/>
      <c r="AO123" s="112"/>
      <c r="AP123" s="112"/>
      <c r="AQ123" s="112"/>
      <c r="AS123" s="20"/>
      <c r="AT123" s="20"/>
      <c r="AU123" s="20"/>
      <c r="AV123" s="20"/>
      <c r="AW123" s="20"/>
      <c r="AX123" s="20"/>
      <c r="AY123" s="20"/>
      <c r="AZ123" s="20"/>
    </row>
    <row r="124" ht="12.0" customHeight="1">
      <c r="A124" s="112"/>
      <c r="B124" s="112"/>
      <c r="C124" s="112"/>
      <c r="D124" s="112"/>
      <c r="E124" s="112"/>
      <c r="F124" s="112"/>
      <c r="G124" s="112"/>
      <c r="H124" s="112"/>
      <c r="I124" s="126"/>
      <c r="J124" s="112"/>
      <c r="K124" s="112"/>
      <c r="L124" s="112"/>
      <c r="M124" s="112"/>
      <c r="N124" s="112"/>
      <c r="O124" s="112"/>
      <c r="P124" s="112"/>
      <c r="Q124" s="112"/>
      <c r="R124" s="112"/>
      <c r="S124" s="112"/>
      <c r="T124" s="112"/>
      <c r="U124" s="112"/>
      <c r="V124" s="112"/>
      <c r="W124" s="112"/>
      <c r="X124" s="112"/>
      <c r="Y124" s="112"/>
      <c r="Z124" s="112"/>
      <c r="AA124" s="112"/>
      <c r="AB124" s="112"/>
      <c r="AC124" s="112"/>
      <c r="AD124" s="112"/>
      <c r="AE124" s="112"/>
      <c r="AF124" s="112"/>
      <c r="AG124" s="112"/>
      <c r="AH124" s="112"/>
      <c r="AI124" s="112"/>
      <c r="AJ124" s="112"/>
      <c r="AK124" s="112"/>
      <c r="AL124" s="112"/>
      <c r="AM124" s="112"/>
      <c r="AN124" s="112"/>
      <c r="AO124" s="112"/>
      <c r="AP124" s="112"/>
      <c r="AQ124" s="112"/>
      <c r="AS124" s="20"/>
      <c r="AT124" s="20"/>
      <c r="AU124" s="20"/>
      <c r="AV124" s="20"/>
      <c r="AW124" s="20"/>
      <c r="AX124" s="20"/>
      <c r="AY124" s="20"/>
      <c r="AZ124" s="20"/>
    </row>
    <row r="125" ht="12.0" customHeight="1">
      <c r="A125" s="112"/>
      <c r="B125" s="112"/>
      <c r="C125" s="112"/>
      <c r="D125" s="112"/>
      <c r="E125" s="112"/>
      <c r="F125" s="112"/>
      <c r="G125" s="112"/>
      <c r="H125" s="112"/>
      <c r="I125" s="126"/>
      <c r="J125" s="112"/>
      <c r="K125" s="112"/>
      <c r="L125" s="112"/>
      <c r="M125" s="112"/>
      <c r="N125" s="112"/>
      <c r="O125" s="112"/>
      <c r="P125" s="112"/>
      <c r="Q125" s="112"/>
      <c r="R125" s="112"/>
      <c r="S125" s="112"/>
      <c r="T125" s="112"/>
      <c r="U125" s="112"/>
      <c r="V125" s="112"/>
      <c r="W125" s="112"/>
      <c r="X125" s="112"/>
      <c r="Y125" s="112"/>
      <c r="Z125" s="112"/>
      <c r="AA125" s="112"/>
      <c r="AB125" s="112"/>
      <c r="AC125" s="112"/>
      <c r="AD125" s="112"/>
      <c r="AE125" s="112"/>
      <c r="AF125" s="112"/>
      <c r="AG125" s="112"/>
      <c r="AH125" s="112"/>
      <c r="AI125" s="112"/>
      <c r="AJ125" s="112"/>
      <c r="AK125" s="112"/>
      <c r="AL125" s="112"/>
      <c r="AM125" s="112"/>
      <c r="AN125" s="112"/>
      <c r="AO125" s="112"/>
      <c r="AP125" s="112"/>
      <c r="AQ125" s="112"/>
      <c r="AS125" s="20"/>
      <c r="AT125" s="20"/>
      <c r="AU125" s="20"/>
      <c r="AV125" s="20"/>
      <c r="AW125" s="20"/>
      <c r="AX125" s="20"/>
      <c r="AY125" s="20"/>
      <c r="AZ125" s="20"/>
    </row>
    <row r="126" ht="12.0" customHeight="1">
      <c r="A126" s="112"/>
      <c r="B126" s="112"/>
      <c r="C126" s="112"/>
      <c r="D126" s="112"/>
      <c r="E126" s="112"/>
      <c r="F126" s="112"/>
      <c r="G126" s="112"/>
      <c r="H126" s="112"/>
      <c r="I126" s="126"/>
      <c r="J126" s="112"/>
      <c r="K126" s="112"/>
      <c r="L126" s="112"/>
      <c r="M126" s="112"/>
      <c r="N126" s="112"/>
      <c r="O126" s="112"/>
      <c r="P126" s="112"/>
      <c r="Q126" s="112"/>
      <c r="R126" s="112"/>
      <c r="S126" s="112"/>
      <c r="T126" s="112"/>
      <c r="U126" s="112"/>
      <c r="V126" s="112"/>
      <c r="W126" s="112"/>
      <c r="X126" s="112"/>
      <c r="Y126" s="112"/>
      <c r="Z126" s="112"/>
      <c r="AA126" s="112"/>
      <c r="AB126" s="112"/>
      <c r="AC126" s="112"/>
      <c r="AD126" s="112"/>
      <c r="AE126" s="112"/>
      <c r="AF126" s="112"/>
      <c r="AG126" s="112"/>
      <c r="AH126" s="112"/>
      <c r="AI126" s="112"/>
      <c r="AJ126" s="112"/>
      <c r="AK126" s="112"/>
      <c r="AL126" s="112"/>
      <c r="AM126" s="112"/>
      <c r="AN126" s="112"/>
      <c r="AO126" s="112"/>
      <c r="AP126" s="112"/>
      <c r="AQ126" s="112"/>
      <c r="AS126" s="20"/>
      <c r="AT126" s="20"/>
      <c r="AU126" s="20"/>
      <c r="AV126" s="20"/>
      <c r="AW126" s="20"/>
      <c r="AX126" s="20"/>
      <c r="AY126" s="20"/>
      <c r="AZ126" s="20"/>
    </row>
    <row r="127" ht="12.0" customHeight="1">
      <c r="A127" s="112"/>
      <c r="B127" s="112"/>
      <c r="C127" s="112"/>
      <c r="D127" s="112"/>
      <c r="E127" s="112"/>
      <c r="F127" s="112"/>
      <c r="G127" s="112"/>
      <c r="H127" s="112"/>
      <c r="I127" s="126"/>
      <c r="J127" s="112"/>
      <c r="K127" s="112"/>
      <c r="L127" s="112"/>
      <c r="M127" s="112"/>
      <c r="N127" s="112"/>
      <c r="O127" s="112"/>
      <c r="P127" s="112"/>
      <c r="Q127" s="112"/>
      <c r="R127" s="112"/>
      <c r="S127" s="112"/>
      <c r="T127" s="112"/>
      <c r="U127" s="112"/>
      <c r="V127" s="112"/>
      <c r="W127" s="112"/>
      <c r="X127" s="112"/>
      <c r="Y127" s="112"/>
      <c r="Z127" s="112"/>
      <c r="AA127" s="112"/>
      <c r="AB127" s="112"/>
      <c r="AC127" s="112"/>
      <c r="AD127" s="112"/>
      <c r="AE127" s="112"/>
      <c r="AF127" s="112"/>
      <c r="AG127" s="112"/>
      <c r="AH127" s="112"/>
      <c r="AI127" s="112"/>
      <c r="AJ127" s="112"/>
      <c r="AK127" s="112"/>
      <c r="AL127" s="112"/>
      <c r="AM127" s="112"/>
      <c r="AN127" s="112"/>
      <c r="AO127" s="112"/>
      <c r="AP127" s="112"/>
      <c r="AQ127" s="112"/>
      <c r="AS127" s="20"/>
      <c r="AT127" s="20"/>
      <c r="AU127" s="20"/>
      <c r="AV127" s="20"/>
      <c r="AW127" s="20"/>
      <c r="AX127" s="20"/>
      <c r="AY127" s="20"/>
      <c r="AZ127" s="20"/>
    </row>
    <row r="128" ht="12.0" customHeight="1">
      <c r="A128" s="112"/>
      <c r="B128" s="112"/>
      <c r="C128" s="112"/>
      <c r="D128" s="112"/>
      <c r="E128" s="112"/>
      <c r="F128" s="112"/>
      <c r="G128" s="112"/>
      <c r="H128" s="112"/>
      <c r="I128" s="126"/>
      <c r="J128" s="112"/>
      <c r="K128" s="112"/>
      <c r="L128" s="112"/>
      <c r="M128" s="112"/>
      <c r="N128" s="112"/>
      <c r="O128" s="112"/>
      <c r="P128" s="112"/>
      <c r="Q128" s="112"/>
      <c r="R128" s="112"/>
      <c r="S128" s="112"/>
      <c r="T128" s="112"/>
      <c r="U128" s="112"/>
      <c r="V128" s="112"/>
      <c r="W128" s="112"/>
      <c r="X128" s="112"/>
      <c r="Y128" s="112"/>
      <c r="Z128" s="112"/>
      <c r="AA128" s="112"/>
      <c r="AB128" s="112"/>
      <c r="AC128" s="112"/>
      <c r="AD128" s="112"/>
      <c r="AE128" s="112"/>
      <c r="AF128" s="112"/>
      <c r="AG128" s="112"/>
      <c r="AH128" s="112"/>
      <c r="AI128" s="112"/>
      <c r="AJ128" s="112"/>
      <c r="AK128" s="112"/>
      <c r="AL128" s="112"/>
      <c r="AM128" s="112"/>
      <c r="AN128" s="112"/>
      <c r="AO128" s="112"/>
      <c r="AP128" s="112"/>
      <c r="AQ128" s="112"/>
      <c r="AS128" s="20"/>
      <c r="AT128" s="20"/>
      <c r="AU128" s="20"/>
      <c r="AV128" s="20"/>
      <c r="AW128" s="20"/>
      <c r="AX128" s="20"/>
      <c r="AY128" s="20"/>
      <c r="AZ128" s="20"/>
    </row>
    <row r="129" ht="12.0" customHeight="1">
      <c r="A129" s="112"/>
      <c r="B129" s="112"/>
      <c r="C129" s="112"/>
      <c r="D129" s="112"/>
      <c r="E129" s="112"/>
      <c r="F129" s="112"/>
      <c r="G129" s="112"/>
      <c r="H129" s="112"/>
      <c r="I129" s="126"/>
      <c r="J129" s="112"/>
      <c r="K129" s="112"/>
      <c r="L129" s="112"/>
      <c r="M129" s="112"/>
      <c r="N129" s="112"/>
      <c r="O129" s="112"/>
      <c r="P129" s="112"/>
      <c r="Q129" s="112"/>
      <c r="R129" s="112"/>
      <c r="S129" s="112"/>
      <c r="T129" s="112"/>
      <c r="U129" s="112"/>
      <c r="V129" s="112"/>
      <c r="W129" s="112"/>
      <c r="X129" s="112"/>
      <c r="Y129" s="112"/>
      <c r="Z129" s="112"/>
      <c r="AA129" s="112"/>
      <c r="AB129" s="112"/>
      <c r="AC129" s="112"/>
      <c r="AD129" s="112"/>
      <c r="AE129" s="112"/>
      <c r="AF129" s="112"/>
      <c r="AG129" s="112"/>
      <c r="AH129" s="112"/>
      <c r="AI129" s="112"/>
      <c r="AJ129" s="112"/>
      <c r="AK129" s="112"/>
      <c r="AL129" s="112"/>
      <c r="AM129" s="112"/>
      <c r="AN129" s="112"/>
      <c r="AO129" s="112"/>
      <c r="AP129" s="112"/>
      <c r="AQ129" s="112"/>
      <c r="AS129" s="20"/>
      <c r="AT129" s="20"/>
      <c r="AU129" s="20"/>
      <c r="AV129" s="20"/>
      <c r="AW129" s="20"/>
      <c r="AX129" s="20"/>
      <c r="AY129" s="20"/>
      <c r="AZ129" s="20"/>
    </row>
    <row r="130" ht="12.0" customHeight="1">
      <c r="A130" s="112"/>
      <c r="B130" s="112"/>
      <c r="C130" s="112"/>
      <c r="D130" s="112"/>
      <c r="E130" s="112"/>
      <c r="F130" s="112"/>
      <c r="G130" s="112"/>
      <c r="H130" s="112"/>
      <c r="I130" s="126"/>
      <c r="J130" s="112"/>
      <c r="K130" s="112"/>
      <c r="L130" s="112"/>
      <c r="M130" s="112"/>
      <c r="N130" s="112"/>
      <c r="O130" s="112"/>
      <c r="P130" s="112"/>
      <c r="Q130" s="112"/>
      <c r="R130" s="112"/>
      <c r="S130" s="112"/>
      <c r="T130" s="112"/>
      <c r="U130" s="112"/>
      <c r="V130" s="112"/>
      <c r="W130" s="112"/>
      <c r="X130" s="112"/>
      <c r="Y130" s="112"/>
      <c r="Z130" s="112"/>
      <c r="AA130" s="112"/>
      <c r="AB130" s="112"/>
      <c r="AC130" s="112"/>
      <c r="AD130" s="112"/>
      <c r="AE130" s="112"/>
      <c r="AF130" s="112"/>
      <c r="AG130" s="112"/>
      <c r="AH130" s="112"/>
      <c r="AI130" s="112"/>
      <c r="AJ130" s="112"/>
      <c r="AK130" s="112"/>
      <c r="AL130" s="112"/>
      <c r="AM130" s="112"/>
      <c r="AN130" s="112"/>
      <c r="AO130" s="112"/>
      <c r="AP130" s="112"/>
      <c r="AQ130" s="112"/>
      <c r="AS130" s="20"/>
      <c r="AT130" s="20"/>
      <c r="AU130" s="20"/>
      <c r="AV130" s="20"/>
      <c r="AW130" s="20"/>
      <c r="AX130" s="20"/>
      <c r="AY130" s="20"/>
      <c r="AZ130" s="20"/>
    </row>
    <row r="131" ht="12.0" customHeight="1">
      <c r="A131" s="112"/>
      <c r="B131" s="112"/>
      <c r="C131" s="112"/>
      <c r="D131" s="112"/>
      <c r="E131" s="112"/>
      <c r="F131" s="112"/>
      <c r="G131" s="112"/>
      <c r="H131" s="112"/>
      <c r="I131" s="126"/>
      <c r="J131" s="112"/>
      <c r="K131" s="112"/>
      <c r="L131" s="112"/>
      <c r="M131" s="112"/>
      <c r="N131" s="112"/>
      <c r="O131" s="112"/>
      <c r="P131" s="112"/>
      <c r="Q131" s="112"/>
      <c r="R131" s="112"/>
      <c r="S131" s="112"/>
      <c r="T131" s="112"/>
      <c r="U131" s="112"/>
      <c r="V131" s="112"/>
      <c r="W131" s="112"/>
      <c r="X131" s="112"/>
      <c r="Y131" s="112"/>
      <c r="Z131" s="112"/>
      <c r="AA131" s="112"/>
      <c r="AB131" s="112"/>
      <c r="AC131" s="112"/>
      <c r="AD131" s="112"/>
      <c r="AE131" s="112"/>
      <c r="AF131" s="112"/>
      <c r="AG131" s="112"/>
      <c r="AH131" s="112"/>
      <c r="AI131" s="112"/>
      <c r="AJ131" s="112"/>
      <c r="AK131" s="112"/>
      <c r="AL131" s="112"/>
      <c r="AM131" s="112"/>
      <c r="AN131" s="112"/>
      <c r="AO131" s="112"/>
      <c r="AP131" s="112"/>
      <c r="AQ131" s="112"/>
      <c r="AS131" s="20"/>
      <c r="AT131" s="20"/>
      <c r="AU131" s="20"/>
      <c r="AV131" s="20"/>
      <c r="AW131" s="20"/>
      <c r="AX131" s="20"/>
      <c r="AY131" s="20"/>
      <c r="AZ131" s="20"/>
    </row>
    <row r="132" ht="12.0" customHeight="1">
      <c r="A132" s="112"/>
      <c r="B132" s="112"/>
      <c r="C132" s="112"/>
      <c r="D132" s="112"/>
      <c r="E132" s="112"/>
      <c r="F132" s="112"/>
      <c r="G132" s="112"/>
      <c r="H132" s="112"/>
      <c r="I132" s="126"/>
      <c r="J132" s="112"/>
      <c r="K132" s="112"/>
      <c r="L132" s="112"/>
      <c r="M132" s="112"/>
      <c r="N132" s="112"/>
      <c r="O132" s="112"/>
      <c r="P132" s="112"/>
      <c r="Q132" s="112"/>
      <c r="R132" s="112"/>
      <c r="S132" s="112"/>
      <c r="T132" s="112"/>
      <c r="U132" s="112"/>
      <c r="V132" s="112"/>
      <c r="W132" s="112"/>
      <c r="X132" s="112"/>
      <c r="Y132" s="112"/>
      <c r="Z132" s="112"/>
      <c r="AA132" s="112"/>
      <c r="AB132" s="112"/>
      <c r="AC132" s="112"/>
      <c r="AD132" s="112"/>
      <c r="AE132" s="112"/>
      <c r="AF132" s="112"/>
      <c r="AG132" s="112"/>
      <c r="AH132" s="112"/>
      <c r="AI132" s="112"/>
      <c r="AJ132" s="112"/>
      <c r="AK132" s="112"/>
      <c r="AL132" s="112"/>
      <c r="AM132" s="112"/>
      <c r="AN132" s="112"/>
      <c r="AO132" s="112"/>
      <c r="AP132" s="112"/>
      <c r="AQ132" s="112"/>
      <c r="AS132" s="20"/>
      <c r="AT132" s="20"/>
      <c r="AU132" s="20"/>
      <c r="AV132" s="20"/>
      <c r="AW132" s="20"/>
      <c r="AX132" s="20"/>
      <c r="AY132" s="20"/>
      <c r="AZ132" s="20"/>
    </row>
    <row r="133" ht="12.0" customHeight="1">
      <c r="A133" s="112"/>
      <c r="B133" s="112"/>
      <c r="C133" s="112"/>
      <c r="D133" s="112"/>
      <c r="E133" s="112"/>
      <c r="F133" s="112"/>
      <c r="G133" s="112"/>
      <c r="H133" s="112"/>
      <c r="I133" s="126"/>
      <c r="J133" s="112"/>
      <c r="K133" s="112"/>
      <c r="L133" s="112"/>
      <c r="M133" s="112"/>
      <c r="N133" s="112"/>
      <c r="O133" s="112"/>
      <c r="P133" s="112"/>
      <c r="Q133" s="112"/>
      <c r="R133" s="112"/>
      <c r="S133" s="112"/>
      <c r="T133" s="112"/>
      <c r="U133" s="112"/>
      <c r="V133" s="112"/>
      <c r="W133" s="112"/>
      <c r="X133" s="112"/>
      <c r="Y133" s="112"/>
      <c r="Z133" s="112"/>
      <c r="AA133" s="112"/>
      <c r="AB133" s="112"/>
      <c r="AC133" s="112"/>
      <c r="AD133" s="112"/>
      <c r="AE133" s="112"/>
      <c r="AF133" s="112"/>
      <c r="AG133" s="112"/>
      <c r="AH133" s="112"/>
      <c r="AI133" s="112"/>
      <c r="AJ133" s="112"/>
      <c r="AK133" s="112"/>
      <c r="AL133" s="112"/>
      <c r="AM133" s="112"/>
      <c r="AN133" s="112"/>
      <c r="AO133" s="112"/>
      <c r="AP133" s="112"/>
      <c r="AQ133" s="112"/>
      <c r="AS133" s="20"/>
      <c r="AT133" s="20"/>
      <c r="AU133" s="20"/>
      <c r="AV133" s="20"/>
      <c r="AW133" s="20"/>
      <c r="AX133" s="20"/>
      <c r="AY133" s="20"/>
      <c r="AZ133" s="20"/>
    </row>
    <row r="134" ht="12.0" customHeight="1">
      <c r="A134" s="112"/>
      <c r="B134" s="112"/>
      <c r="C134" s="112"/>
      <c r="D134" s="112"/>
      <c r="E134" s="112"/>
      <c r="F134" s="112"/>
      <c r="G134" s="112"/>
      <c r="H134" s="112"/>
      <c r="I134" s="126"/>
      <c r="J134" s="112"/>
      <c r="K134" s="112"/>
      <c r="L134" s="112"/>
      <c r="M134" s="112"/>
      <c r="N134" s="112"/>
      <c r="O134" s="112"/>
      <c r="P134" s="112"/>
      <c r="Q134" s="112"/>
      <c r="R134" s="112"/>
      <c r="S134" s="112"/>
      <c r="T134" s="112"/>
      <c r="U134" s="112"/>
      <c r="V134" s="112"/>
      <c r="W134" s="112"/>
      <c r="X134" s="112"/>
      <c r="Y134" s="112"/>
      <c r="Z134" s="112"/>
      <c r="AA134" s="112"/>
      <c r="AB134" s="112"/>
      <c r="AC134" s="112"/>
      <c r="AD134" s="112"/>
      <c r="AE134" s="112"/>
      <c r="AF134" s="112"/>
      <c r="AG134" s="112"/>
      <c r="AH134" s="112"/>
      <c r="AI134" s="112"/>
      <c r="AJ134" s="112"/>
      <c r="AK134" s="112"/>
      <c r="AL134" s="112"/>
      <c r="AM134" s="112"/>
      <c r="AN134" s="112"/>
      <c r="AO134" s="112"/>
      <c r="AP134" s="112"/>
      <c r="AQ134" s="112"/>
      <c r="AS134" s="20"/>
      <c r="AT134" s="20"/>
      <c r="AU134" s="20"/>
      <c r="AV134" s="20"/>
      <c r="AW134" s="20"/>
      <c r="AX134" s="20"/>
      <c r="AY134" s="20"/>
      <c r="AZ134" s="20"/>
    </row>
    <row r="135" ht="12.0" customHeight="1">
      <c r="A135" s="112"/>
      <c r="B135" s="112"/>
      <c r="C135" s="112"/>
      <c r="D135" s="112"/>
      <c r="E135" s="112"/>
      <c r="F135" s="112"/>
      <c r="G135" s="112"/>
      <c r="H135" s="112"/>
      <c r="I135" s="126"/>
      <c r="J135" s="112"/>
      <c r="K135" s="112"/>
      <c r="L135" s="112"/>
      <c r="M135" s="112"/>
      <c r="N135" s="112"/>
      <c r="O135" s="112"/>
      <c r="P135" s="112"/>
      <c r="Q135" s="112"/>
      <c r="R135" s="112"/>
      <c r="S135" s="112"/>
      <c r="T135" s="112"/>
      <c r="U135" s="112"/>
      <c r="V135" s="112"/>
      <c r="W135" s="112"/>
      <c r="X135" s="112"/>
      <c r="Y135" s="112"/>
      <c r="Z135" s="112"/>
      <c r="AA135" s="112"/>
      <c r="AB135" s="112"/>
      <c r="AC135" s="112"/>
      <c r="AD135" s="112"/>
      <c r="AE135" s="112"/>
      <c r="AF135" s="112"/>
      <c r="AG135" s="112"/>
      <c r="AH135" s="112"/>
      <c r="AI135" s="112"/>
      <c r="AJ135" s="112"/>
      <c r="AK135" s="112"/>
      <c r="AL135" s="112"/>
      <c r="AM135" s="112"/>
      <c r="AN135" s="112"/>
      <c r="AO135" s="112"/>
      <c r="AP135" s="112"/>
      <c r="AQ135" s="112"/>
      <c r="AS135" s="20"/>
      <c r="AT135" s="20"/>
      <c r="AU135" s="20"/>
      <c r="AV135" s="20"/>
      <c r="AW135" s="20"/>
      <c r="AX135" s="20"/>
      <c r="AY135" s="20"/>
      <c r="AZ135" s="20"/>
    </row>
    <row r="136" ht="12.0" customHeight="1">
      <c r="A136" s="112"/>
      <c r="B136" s="112"/>
      <c r="C136" s="112"/>
      <c r="D136" s="112"/>
      <c r="E136" s="112"/>
      <c r="F136" s="112"/>
      <c r="G136" s="112"/>
      <c r="H136" s="112"/>
      <c r="I136" s="126"/>
      <c r="J136" s="112"/>
      <c r="K136" s="112"/>
      <c r="L136" s="112"/>
      <c r="M136" s="112"/>
      <c r="N136" s="112"/>
      <c r="O136" s="112"/>
      <c r="P136" s="112"/>
      <c r="Q136" s="112"/>
      <c r="R136" s="112"/>
      <c r="S136" s="112"/>
      <c r="T136" s="112"/>
      <c r="U136" s="112"/>
      <c r="V136" s="112"/>
      <c r="W136" s="112"/>
      <c r="X136" s="112"/>
      <c r="Y136" s="112"/>
      <c r="Z136" s="112"/>
      <c r="AA136" s="112"/>
      <c r="AB136" s="112"/>
      <c r="AC136" s="112"/>
      <c r="AD136" s="112"/>
      <c r="AE136" s="112"/>
      <c r="AF136" s="112"/>
      <c r="AG136" s="112"/>
      <c r="AH136" s="112"/>
      <c r="AI136" s="112"/>
      <c r="AJ136" s="112"/>
      <c r="AK136" s="112"/>
      <c r="AL136" s="112"/>
      <c r="AM136" s="112"/>
      <c r="AN136" s="112"/>
      <c r="AO136" s="112"/>
      <c r="AP136" s="112"/>
      <c r="AQ136" s="112"/>
      <c r="AS136" s="20"/>
      <c r="AT136" s="20"/>
      <c r="AU136" s="20"/>
      <c r="AV136" s="20"/>
      <c r="AW136" s="20"/>
      <c r="AX136" s="20"/>
      <c r="AY136" s="20"/>
      <c r="AZ136" s="20"/>
    </row>
    <row r="137" ht="12.0" customHeight="1">
      <c r="A137" s="112"/>
      <c r="B137" s="112"/>
      <c r="C137" s="112"/>
      <c r="D137" s="112"/>
      <c r="E137" s="112"/>
      <c r="F137" s="112"/>
      <c r="G137" s="112"/>
      <c r="H137" s="112"/>
      <c r="I137" s="126"/>
      <c r="J137" s="112"/>
      <c r="K137" s="112"/>
      <c r="L137" s="112"/>
      <c r="M137" s="112"/>
      <c r="N137" s="112"/>
      <c r="O137" s="112"/>
      <c r="P137" s="112"/>
      <c r="Q137" s="112"/>
      <c r="R137" s="112"/>
      <c r="S137" s="112"/>
      <c r="T137" s="112"/>
      <c r="U137" s="112"/>
      <c r="V137" s="112"/>
      <c r="W137" s="112"/>
      <c r="X137" s="112"/>
      <c r="Y137" s="112"/>
      <c r="Z137" s="112"/>
      <c r="AA137" s="112"/>
      <c r="AB137" s="112"/>
      <c r="AC137" s="112"/>
      <c r="AD137" s="112"/>
      <c r="AE137" s="112"/>
      <c r="AF137" s="112"/>
      <c r="AG137" s="112"/>
      <c r="AH137" s="112"/>
      <c r="AI137" s="112"/>
      <c r="AJ137" s="112"/>
      <c r="AK137" s="112"/>
      <c r="AL137" s="112"/>
      <c r="AM137" s="112"/>
      <c r="AN137" s="112"/>
      <c r="AO137" s="112"/>
      <c r="AP137" s="112"/>
      <c r="AQ137" s="112"/>
      <c r="AS137" s="20"/>
      <c r="AT137" s="20"/>
      <c r="AU137" s="20"/>
      <c r="AV137" s="20"/>
      <c r="AW137" s="20"/>
      <c r="AX137" s="20"/>
      <c r="AY137" s="20"/>
      <c r="AZ137" s="20"/>
    </row>
    <row r="138" ht="12.0" customHeight="1">
      <c r="A138" s="112"/>
      <c r="B138" s="112"/>
      <c r="C138" s="112"/>
      <c r="D138" s="112"/>
      <c r="E138" s="112"/>
      <c r="F138" s="112"/>
      <c r="G138" s="112"/>
      <c r="H138" s="112"/>
      <c r="I138" s="126"/>
      <c r="J138" s="112"/>
      <c r="K138" s="112"/>
      <c r="L138" s="112"/>
      <c r="M138" s="112"/>
      <c r="N138" s="112"/>
      <c r="O138" s="112"/>
      <c r="P138" s="112"/>
      <c r="Q138" s="112"/>
      <c r="R138" s="112"/>
      <c r="S138" s="112"/>
      <c r="T138" s="112"/>
      <c r="U138" s="112"/>
      <c r="V138" s="112"/>
      <c r="W138" s="112"/>
      <c r="X138" s="112"/>
      <c r="Y138" s="112"/>
      <c r="Z138" s="112"/>
      <c r="AA138" s="112"/>
      <c r="AB138" s="112"/>
      <c r="AC138" s="112"/>
      <c r="AD138" s="112"/>
      <c r="AE138" s="112"/>
      <c r="AF138" s="112"/>
      <c r="AG138" s="112"/>
      <c r="AH138" s="112"/>
      <c r="AI138" s="112"/>
      <c r="AJ138" s="112"/>
      <c r="AK138" s="112"/>
      <c r="AL138" s="112"/>
      <c r="AM138" s="112"/>
      <c r="AN138" s="112"/>
      <c r="AO138" s="112"/>
      <c r="AP138" s="112"/>
      <c r="AQ138" s="112"/>
      <c r="AS138" s="20"/>
      <c r="AT138" s="20"/>
      <c r="AU138" s="20"/>
      <c r="AV138" s="20"/>
      <c r="AW138" s="20"/>
      <c r="AX138" s="20"/>
      <c r="AY138" s="20"/>
      <c r="AZ138" s="20"/>
    </row>
    <row r="139" ht="12.0" customHeight="1">
      <c r="A139" s="112"/>
      <c r="B139" s="112"/>
      <c r="C139" s="112"/>
      <c r="D139" s="112"/>
      <c r="E139" s="112"/>
      <c r="F139" s="112"/>
      <c r="G139" s="112"/>
      <c r="H139" s="112"/>
      <c r="I139" s="126"/>
      <c r="J139" s="112"/>
      <c r="K139" s="112"/>
      <c r="L139" s="112"/>
      <c r="M139" s="112"/>
      <c r="N139" s="112"/>
      <c r="O139" s="112"/>
      <c r="P139" s="112"/>
      <c r="Q139" s="112"/>
      <c r="R139" s="112"/>
      <c r="S139" s="112"/>
      <c r="T139" s="112"/>
      <c r="U139" s="112"/>
      <c r="V139" s="112"/>
      <c r="W139" s="112"/>
      <c r="X139" s="112"/>
      <c r="Y139" s="112"/>
      <c r="Z139" s="112"/>
      <c r="AA139" s="112"/>
      <c r="AB139" s="112"/>
      <c r="AC139" s="112"/>
      <c r="AD139" s="112"/>
      <c r="AE139" s="112"/>
      <c r="AF139" s="112"/>
      <c r="AG139" s="112"/>
      <c r="AH139" s="112"/>
      <c r="AI139" s="112"/>
      <c r="AJ139" s="112"/>
      <c r="AK139" s="112"/>
      <c r="AL139" s="112"/>
      <c r="AM139" s="112"/>
      <c r="AN139" s="112"/>
      <c r="AO139" s="112"/>
      <c r="AP139" s="112"/>
      <c r="AQ139" s="112"/>
      <c r="AS139" s="20"/>
      <c r="AT139" s="20"/>
      <c r="AU139" s="20"/>
      <c r="AV139" s="20"/>
      <c r="AW139" s="20"/>
      <c r="AX139" s="20"/>
      <c r="AY139" s="20"/>
      <c r="AZ139" s="20"/>
    </row>
    <row r="140" ht="12.0" customHeight="1">
      <c r="A140" s="112"/>
      <c r="B140" s="112"/>
      <c r="C140" s="112"/>
      <c r="D140" s="112"/>
      <c r="E140" s="112"/>
      <c r="F140" s="112"/>
      <c r="G140" s="112"/>
      <c r="H140" s="112"/>
      <c r="I140" s="126"/>
      <c r="J140" s="112"/>
      <c r="K140" s="112"/>
      <c r="L140" s="112"/>
      <c r="M140" s="112"/>
      <c r="N140" s="112"/>
      <c r="O140" s="112"/>
      <c r="P140" s="112"/>
      <c r="Q140" s="112"/>
      <c r="R140" s="112"/>
      <c r="S140" s="112"/>
      <c r="T140" s="112"/>
      <c r="U140" s="112"/>
      <c r="V140" s="112"/>
      <c r="W140" s="112"/>
      <c r="X140" s="112"/>
      <c r="Y140" s="112"/>
      <c r="Z140" s="112"/>
      <c r="AA140" s="112"/>
      <c r="AB140" s="112"/>
      <c r="AC140" s="112"/>
      <c r="AD140" s="112"/>
      <c r="AE140" s="112"/>
      <c r="AF140" s="112"/>
      <c r="AG140" s="112"/>
      <c r="AH140" s="112"/>
      <c r="AI140" s="112"/>
      <c r="AJ140" s="112"/>
      <c r="AK140" s="112"/>
      <c r="AL140" s="112"/>
      <c r="AM140" s="112"/>
      <c r="AN140" s="112"/>
      <c r="AO140" s="112"/>
      <c r="AP140" s="112"/>
      <c r="AQ140" s="112"/>
      <c r="AS140" s="20"/>
      <c r="AT140" s="20"/>
      <c r="AU140" s="20"/>
      <c r="AV140" s="20"/>
      <c r="AW140" s="20"/>
      <c r="AX140" s="20"/>
      <c r="AY140" s="20"/>
      <c r="AZ140" s="20"/>
    </row>
    <row r="141" ht="12.0" customHeight="1">
      <c r="A141" s="112"/>
      <c r="B141" s="112"/>
      <c r="C141" s="112"/>
      <c r="D141" s="112"/>
      <c r="E141" s="112"/>
      <c r="F141" s="112"/>
      <c r="G141" s="112"/>
      <c r="H141" s="112"/>
      <c r="I141" s="126"/>
      <c r="J141" s="112"/>
      <c r="K141" s="112"/>
      <c r="L141" s="112"/>
      <c r="M141" s="112"/>
      <c r="N141" s="112"/>
      <c r="O141" s="112"/>
      <c r="P141" s="112"/>
      <c r="Q141" s="112"/>
      <c r="R141" s="112"/>
      <c r="S141" s="112"/>
      <c r="T141" s="112"/>
      <c r="U141" s="112"/>
      <c r="V141" s="112"/>
      <c r="W141" s="112"/>
      <c r="X141" s="112"/>
      <c r="Y141" s="112"/>
      <c r="Z141" s="112"/>
      <c r="AA141" s="112"/>
      <c r="AB141" s="112"/>
      <c r="AC141" s="112"/>
      <c r="AD141" s="112"/>
      <c r="AE141" s="112"/>
      <c r="AF141" s="112"/>
      <c r="AG141" s="112"/>
      <c r="AH141" s="112"/>
      <c r="AI141" s="112"/>
      <c r="AJ141" s="112"/>
      <c r="AK141" s="112"/>
      <c r="AL141" s="112"/>
      <c r="AM141" s="112"/>
      <c r="AN141" s="112"/>
      <c r="AO141" s="112"/>
      <c r="AP141" s="112"/>
      <c r="AQ141" s="112"/>
      <c r="AS141" s="20"/>
      <c r="AT141" s="20"/>
      <c r="AU141" s="20"/>
      <c r="AV141" s="20"/>
      <c r="AW141" s="20"/>
      <c r="AX141" s="20"/>
      <c r="AY141" s="20"/>
      <c r="AZ141" s="20"/>
    </row>
    <row r="142" ht="12.0" customHeight="1">
      <c r="A142" s="112"/>
      <c r="B142" s="112"/>
      <c r="C142" s="112"/>
      <c r="D142" s="112"/>
      <c r="E142" s="112"/>
      <c r="F142" s="112"/>
      <c r="G142" s="112"/>
      <c r="H142" s="112"/>
      <c r="I142" s="126"/>
      <c r="J142" s="112"/>
      <c r="K142" s="112"/>
      <c r="L142" s="112"/>
      <c r="M142" s="112"/>
      <c r="N142" s="112"/>
      <c r="O142" s="112"/>
      <c r="P142" s="112"/>
      <c r="Q142" s="112"/>
      <c r="R142" s="112"/>
      <c r="S142" s="112"/>
      <c r="T142" s="112"/>
      <c r="U142" s="112"/>
      <c r="V142" s="112"/>
      <c r="W142" s="112"/>
      <c r="X142" s="112"/>
      <c r="Y142" s="112"/>
      <c r="Z142" s="112"/>
      <c r="AA142" s="112"/>
      <c r="AB142" s="112"/>
      <c r="AC142" s="112"/>
      <c r="AD142" s="112"/>
      <c r="AE142" s="112"/>
      <c r="AF142" s="112"/>
      <c r="AG142" s="112"/>
      <c r="AH142" s="112"/>
      <c r="AI142" s="112"/>
      <c r="AJ142" s="112"/>
      <c r="AK142" s="112"/>
      <c r="AL142" s="112"/>
      <c r="AM142" s="112"/>
      <c r="AN142" s="112"/>
      <c r="AO142" s="112"/>
      <c r="AP142" s="112"/>
      <c r="AQ142" s="112"/>
      <c r="AS142" s="20"/>
      <c r="AT142" s="20"/>
      <c r="AU142" s="20"/>
      <c r="AV142" s="20"/>
      <c r="AW142" s="20"/>
      <c r="AX142" s="20"/>
      <c r="AY142" s="20"/>
      <c r="AZ142" s="20"/>
    </row>
    <row r="143" ht="12.0" customHeight="1">
      <c r="A143" s="112"/>
      <c r="B143" s="112"/>
      <c r="C143" s="112"/>
      <c r="D143" s="112"/>
      <c r="E143" s="112"/>
      <c r="F143" s="112"/>
      <c r="G143" s="112"/>
      <c r="H143" s="112"/>
      <c r="I143" s="126"/>
      <c r="J143" s="112"/>
      <c r="K143" s="112"/>
      <c r="L143" s="112"/>
      <c r="M143" s="112"/>
      <c r="N143" s="112"/>
      <c r="O143" s="112"/>
      <c r="P143" s="112"/>
      <c r="Q143" s="112"/>
      <c r="R143" s="112"/>
      <c r="S143" s="112"/>
      <c r="T143" s="112"/>
      <c r="U143" s="112"/>
      <c r="V143" s="112"/>
      <c r="W143" s="112"/>
      <c r="X143" s="112"/>
      <c r="Y143" s="112"/>
      <c r="Z143" s="112"/>
      <c r="AA143" s="112"/>
      <c r="AB143" s="112"/>
      <c r="AC143" s="112"/>
      <c r="AD143" s="112"/>
      <c r="AE143" s="112"/>
      <c r="AF143" s="112"/>
      <c r="AG143" s="112"/>
      <c r="AH143" s="112"/>
      <c r="AI143" s="112"/>
      <c r="AJ143" s="112"/>
      <c r="AK143" s="112"/>
      <c r="AL143" s="112"/>
      <c r="AM143" s="112"/>
      <c r="AN143" s="112"/>
      <c r="AO143" s="112"/>
      <c r="AP143" s="112"/>
      <c r="AQ143" s="112"/>
      <c r="AS143" s="20"/>
      <c r="AT143" s="20"/>
      <c r="AU143" s="20"/>
      <c r="AV143" s="20"/>
      <c r="AW143" s="20"/>
      <c r="AX143" s="20"/>
      <c r="AY143" s="20"/>
      <c r="AZ143" s="20"/>
    </row>
    <row r="144" ht="12.0" customHeight="1">
      <c r="A144" s="112"/>
      <c r="B144" s="112"/>
      <c r="C144" s="112"/>
      <c r="D144" s="112"/>
      <c r="E144" s="112"/>
      <c r="F144" s="112"/>
      <c r="G144" s="112"/>
      <c r="H144" s="112"/>
      <c r="I144" s="126"/>
      <c r="J144" s="112"/>
      <c r="K144" s="112"/>
      <c r="L144" s="112"/>
      <c r="M144" s="112"/>
      <c r="N144" s="112"/>
      <c r="O144" s="112"/>
      <c r="P144" s="112"/>
      <c r="Q144" s="112"/>
      <c r="R144" s="112"/>
      <c r="S144" s="112"/>
      <c r="T144" s="112"/>
      <c r="U144" s="112"/>
      <c r="V144" s="112"/>
      <c r="W144" s="112"/>
      <c r="X144" s="112"/>
      <c r="Y144" s="112"/>
      <c r="Z144" s="112"/>
      <c r="AA144" s="112"/>
      <c r="AB144" s="112"/>
      <c r="AC144" s="112"/>
      <c r="AD144" s="112"/>
      <c r="AE144" s="112"/>
      <c r="AF144" s="112"/>
      <c r="AG144" s="112"/>
      <c r="AH144" s="112"/>
      <c r="AI144" s="112"/>
      <c r="AJ144" s="112"/>
      <c r="AK144" s="112"/>
      <c r="AL144" s="112"/>
      <c r="AM144" s="112"/>
      <c r="AN144" s="112"/>
      <c r="AO144" s="112"/>
      <c r="AP144" s="112"/>
      <c r="AQ144" s="112"/>
      <c r="AS144" s="20"/>
      <c r="AT144" s="20"/>
      <c r="AU144" s="20"/>
      <c r="AV144" s="20"/>
      <c r="AW144" s="20"/>
      <c r="AX144" s="20"/>
      <c r="AY144" s="20"/>
      <c r="AZ144" s="20"/>
    </row>
    <row r="145" ht="12.0" customHeight="1">
      <c r="A145" s="112"/>
      <c r="B145" s="112"/>
      <c r="C145" s="112"/>
      <c r="D145" s="112"/>
      <c r="E145" s="112"/>
      <c r="F145" s="112"/>
      <c r="G145" s="112"/>
      <c r="H145" s="112"/>
      <c r="I145" s="126"/>
      <c r="J145" s="112"/>
      <c r="K145" s="112"/>
      <c r="L145" s="112"/>
      <c r="M145" s="112"/>
      <c r="N145" s="112"/>
      <c r="O145" s="112"/>
      <c r="P145" s="112"/>
      <c r="Q145" s="112"/>
      <c r="R145" s="112"/>
      <c r="S145" s="112"/>
      <c r="T145" s="112"/>
      <c r="U145" s="112"/>
      <c r="V145" s="112"/>
      <c r="W145" s="112"/>
      <c r="X145" s="112"/>
      <c r="Y145" s="112"/>
      <c r="Z145" s="112"/>
      <c r="AA145" s="112"/>
      <c r="AB145" s="112"/>
      <c r="AC145" s="112"/>
      <c r="AD145" s="112"/>
      <c r="AE145" s="112"/>
      <c r="AF145" s="112"/>
      <c r="AG145" s="112"/>
      <c r="AH145" s="112"/>
      <c r="AI145" s="112"/>
      <c r="AJ145" s="112"/>
      <c r="AK145" s="112"/>
      <c r="AL145" s="112"/>
      <c r="AM145" s="112"/>
      <c r="AN145" s="112"/>
      <c r="AO145" s="112"/>
      <c r="AP145" s="112"/>
      <c r="AQ145" s="112"/>
      <c r="AS145" s="20"/>
      <c r="AT145" s="20"/>
      <c r="AU145" s="20"/>
      <c r="AV145" s="20"/>
      <c r="AW145" s="20"/>
      <c r="AX145" s="20"/>
      <c r="AY145" s="20"/>
      <c r="AZ145" s="20"/>
    </row>
    <row r="146" ht="12.0" customHeight="1">
      <c r="A146" s="112"/>
      <c r="B146" s="112"/>
      <c r="C146" s="112"/>
      <c r="D146" s="112"/>
      <c r="E146" s="112"/>
      <c r="F146" s="112"/>
      <c r="G146" s="112"/>
      <c r="H146" s="112"/>
      <c r="I146" s="126"/>
      <c r="J146" s="112"/>
      <c r="K146" s="112"/>
      <c r="L146" s="112"/>
      <c r="M146" s="112"/>
      <c r="N146" s="112"/>
      <c r="O146" s="112"/>
      <c r="P146" s="112"/>
      <c r="Q146" s="112"/>
      <c r="R146" s="112"/>
      <c r="S146" s="112"/>
      <c r="T146" s="112"/>
      <c r="U146" s="112"/>
      <c r="V146" s="112"/>
      <c r="W146" s="112"/>
      <c r="X146" s="112"/>
      <c r="Y146" s="112"/>
      <c r="Z146" s="112"/>
      <c r="AA146" s="112"/>
      <c r="AB146" s="112"/>
      <c r="AC146" s="112"/>
      <c r="AD146" s="112"/>
      <c r="AE146" s="112"/>
      <c r="AF146" s="112"/>
      <c r="AG146" s="112"/>
      <c r="AH146" s="112"/>
      <c r="AI146" s="112"/>
      <c r="AJ146" s="112"/>
      <c r="AK146" s="112"/>
      <c r="AL146" s="112"/>
      <c r="AM146" s="112"/>
      <c r="AN146" s="112"/>
      <c r="AO146" s="112"/>
      <c r="AP146" s="112"/>
      <c r="AQ146" s="112"/>
      <c r="AS146" s="20"/>
      <c r="AT146" s="20"/>
      <c r="AU146" s="20"/>
      <c r="AV146" s="20"/>
      <c r="AW146" s="20"/>
      <c r="AX146" s="20"/>
      <c r="AY146" s="20"/>
      <c r="AZ146" s="20"/>
    </row>
    <row r="147" ht="12.0" customHeight="1">
      <c r="A147" s="112"/>
      <c r="B147" s="112"/>
      <c r="C147" s="112"/>
      <c r="D147" s="112"/>
      <c r="E147" s="112"/>
      <c r="F147" s="112"/>
      <c r="G147" s="112"/>
      <c r="H147" s="112"/>
      <c r="I147" s="126"/>
      <c r="J147" s="112"/>
      <c r="K147" s="112"/>
      <c r="L147" s="112"/>
      <c r="M147" s="112"/>
      <c r="N147" s="112"/>
      <c r="O147" s="112"/>
      <c r="P147" s="112"/>
      <c r="Q147" s="112"/>
      <c r="R147" s="112"/>
      <c r="S147" s="112"/>
      <c r="T147" s="112"/>
      <c r="U147" s="112"/>
      <c r="V147" s="112"/>
      <c r="W147" s="112"/>
      <c r="X147" s="112"/>
      <c r="Y147" s="112"/>
      <c r="Z147" s="112"/>
      <c r="AA147" s="112"/>
      <c r="AB147" s="112"/>
      <c r="AC147" s="112"/>
      <c r="AD147" s="112"/>
      <c r="AE147" s="112"/>
      <c r="AF147" s="112"/>
      <c r="AG147" s="112"/>
      <c r="AH147" s="112"/>
      <c r="AI147" s="112"/>
      <c r="AJ147" s="112"/>
      <c r="AK147" s="112"/>
      <c r="AL147" s="112"/>
      <c r="AM147" s="112"/>
      <c r="AN147" s="112"/>
      <c r="AO147" s="112"/>
      <c r="AP147" s="112"/>
      <c r="AQ147" s="112"/>
      <c r="AS147" s="20"/>
      <c r="AT147" s="20"/>
      <c r="AU147" s="20"/>
      <c r="AV147" s="20"/>
      <c r="AW147" s="20"/>
      <c r="AX147" s="20"/>
      <c r="AY147" s="20"/>
      <c r="AZ147" s="20"/>
    </row>
    <row r="148" ht="12.0" customHeight="1">
      <c r="A148" s="112"/>
      <c r="B148" s="112"/>
      <c r="C148" s="112"/>
      <c r="D148" s="112"/>
      <c r="E148" s="112"/>
      <c r="F148" s="112"/>
      <c r="G148" s="112"/>
      <c r="H148" s="112"/>
      <c r="I148" s="126"/>
      <c r="J148" s="112"/>
      <c r="K148" s="112"/>
      <c r="L148" s="112"/>
      <c r="M148" s="112"/>
      <c r="N148" s="112"/>
      <c r="O148" s="112"/>
      <c r="P148" s="112"/>
      <c r="Q148" s="112"/>
      <c r="R148" s="112"/>
      <c r="S148" s="112"/>
      <c r="T148" s="112"/>
      <c r="U148" s="112"/>
      <c r="V148" s="112"/>
      <c r="W148" s="112"/>
      <c r="X148" s="112"/>
      <c r="Y148" s="112"/>
      <c r="Z148" s="112"/>
      <c r="AA148" s="112"/>
      <c r="AB148" s="112"/>
      <c r="AC148" s="112"/>
      <c r="AD148" s="112"/>
      <c r="AE148" s="112"/>
      <c r="AF148" s="112"/>
      <c r="AG148" s="112"/>
      <c r="AH148" s="112"/>
      <c r="AI148" s="112"/>
      <c r="AJ148" s="112"/>
      <c r="AK148" s="112"/>
      <c r="AL148" s="112"/>
      <c r="AM148" s="112"/>
      <c r="AN148" s="112"/>
      <c r="AO148" s="112"/>
      <c r="AP148" s="112"/>
      <c r="AQ148" s="112"/>
      <c r="AS148" s="20"/>
      <c r="AT148" s="20"/>
      <c r="AU148" s="20"/>
      <c r="AV148" s="20"/>
      <c r="AW148" s="20"/>
      <c r="AX148" s="20"/>
      <c r="AY148" s="20"/>
      <c r="AZ148" s="20"/>
    </row>
    <row r="149" ht="12.0" customHeight="1">
      <c r="A149" s="112"/>
      <c r="B149" s="112"/>
      <c r="C149" s="112"/>
      <c r="D149" s="112"/>
      <c r="E149" s="112"/>
      <c r="F149" s="112"/>
      <c r="G149" s="112"/>
      <c r="H149" s="112"/>
      <c r="I149" s="126"/>
      <c r="J149" s="112"/>
      <c r="K149" s="112"/>
      <c r="L149" s="112"/>
      <c r="M149" s="112"/>
      <c r="N149" s="112"/>
      <c r="O149" s="112"/>
      <c r="P149" s="112"/>
      <c r="Q149" s="112"/>
      <c r="R149" s="112"/>
      <c r="S149" s="112"/>
      <c r="T149" s="112"/>
      <c r="U149" s="112"/>
      <c r="V149" s="112"/>
      <c r="W149" s="112"/>
      <c r="X149" s="112"/>
      <c r="Y149" s="112"/>
      <c r="Z149" s="112"/>
      <c r="AA149" s="112"/>
      <c r="AB149" s="112"/>
      <c r="AC149" s="112"/>
      <c r="AD149" s="112"/>
      <c r="AE149" s="112"/>
      <c r="AF149" s="112"/>
      <c r="AG149" s="112"/>
      <c r="AH149" s="112"/>
      <c r="AI149" s="112"/>
      <c r="AJ149" s="112"/>
      <c r="AK149" s="112"/>
      <c r="AL149" s="112"/>
      <c r="AM149" s="112"/>
      <c r="AN149" s="112"/>
      <c r="AO149" s="112"/>
      <c r="AP149" s="112"/>
      <c r="AQ149" s="112"/>
      <c r="AS149" s="20"/>
      <c r="AT149" s="20"/>
      <c r="AU149" s="20"/>
      <c r="AV149" s="20"/>
      <c r="AW149" s="20"/>
      <c r="AX149" s="20"/>
      <c r="AY149" s="20"/>
      <c r="AZ149" s="20"/>
    </row>
    <row r="150" ht="12.0" customHeight="1">
      <c r="A150" s="112"/>
      <c r="B150" s="112"/>
      <c r="C150" s="112"/>
      <c r="D150" s="112"/>
      <c r="E150" s="112"/>
      <c r="F150" s="112"/>
      <c r="G150" s="112"/>
      <c r="H150" s="112"/>
      <c r="I150" s="126"/>
      <c r="J150" s="112"/>
      <c r="K150" s="112"/>
      <c r="L150" s="112"/>
      <c r="M150" s="112"/>
      <c r="N150" s="112"/>
      <c r="O150" s="112"/>
      <c r="P150" s="112"/>
      <c r="Q150" s="112"/>
      <c r="R150" s="112"/>
      <c r="S150" s="112"/>
      <c r="T150" s="112"/>
      <c r="U150" s="112"/>
      <c r="V150" s="112"/>
      <c r="W150" s="112"/>
      <c r="X150" s="112"/>
      <c r="Y150" s="112"/>
      <c r="Z150" s="112"/>
      <c r="AA150" s="112"/>
      <c r="AB150" s="112"/>
      <c r="AC150" s="112"/>
      <c r="AD150" s="112"/>
      <c r="AE150" s="112"/>
      <c r="AF150" s="112"/>
      <c r="AG150" s="112"/>
      <c r="AH150" s="112"/>
      <c r="AI150" s="112"/>
      <c r="AJ150" s="112"/>
      <c r="AK150" s="112"/>
      <c r="AL150" s="112"/>
      <c r="AM150" s="112"/>
      <c r="AN150" s="112"/>
      <c r="AO150" s="112"/>
      <c r="AP150" s="112"/>
      <c r="AQ150" s="112"/>
      <c r="AS150" s="20"/>
      <c r="AT150" s="20"/>
      <c r="AU150" s="20"/>
      <c r="AV150" s="20"/>
      <c r="AW150" s="20"/>
      <c r="AX150" s="20"/>
      <c r="AY150" s="20"/>
      <c r="AZ150" s="20"/>
    </row>
    <row r="151" ht="12.0" customHeight="1">
      <c r="A151" s="112"/>
      <c r="B151" s="112"/>
      <c r="C151" s="112"/>
      <c r="D151" s="112"/>
      <c r="E151" s="112"/>
      <c r="F151" s="112"/>
      <c r="G151" s="112"/>
      <c r="H151" s="112"/>
      <c r="I151" s="126"/>
      <c r="J151" s="112"/>
      <c r="K151" s="112"/>
      <c r="L151" s="112"/>
      <c r="M151" s="112"/>
      <c r="N151" s="112"/>
      <c r="O151" s="112"/>
      <c r="P151" s="112"/>
      <c r="Q151" s="112"/>
      <c r="R151" s="112"/>
      <c r="S151" s="112"/>
      <c r="T151" s="112"/>
      <c r="U151" s="112"/>
      <c r="V151" s="112"/>
      <c r="W151" s="112"/>
      <c r="X151" s="112"/>
      <c r="Y151" s="112"/>
      <c r="Z151" s="112"/>
      <c r="AA151" s="112"/>
      <c r="AB151" s="112"/>
      <c r="AC151" s="112"/>
      <c r="AD151" s="112"/>
      <c r="AE151" s="112"/>
      <c r="AF151" s="112"/>
      <c r="AG151" s="112"/>
      <c r="AH151" s="112"/>
      <c r="AI151" s="112"/>
      <c r="AJ151" s="112"/>
      <c r="AK151" s="112"/>
      <c r="AL151" s="112"/>
      <c r="AM151" s="112"/>
      <c r="AN151" s="112"/>
      <c r="AO151" s="112"/>
      <c r="AP151" s="112"/>
      <c r="AQ151" s="112"/>
      <c r="AS151" s="20"/>
      <c r="AT151" s="20"/>
      <c r="AU151" s="20"/>
      <c r="AV151" s="20"/>
      <c r="AW151" s="20"/>
      <c r="AX151" s="20"/>
      <c r="AY151" s="20"/>
      <c r="AZ151" s="20"/>
    </row>
    <row r="152" ht="12.0" customHeight="1">
      <c r="A152" s="112"/>
      <c r="B152" s="112"/>
      <c r="C152" s="112"/>
      <c r="D152" s="112"/>
      <c r="E152" s="112"/>
      <c r="F152" s="112"/>
      <c r="G152" s="112"/>
      <c r="H152" s="112"/>
      <c r="I152" s="126"/>
      <c r="J152" s="112"/>
      <c r="K152" s="112"/>
      <c r="L152" s="112"/>
      <c r="M152" s="112"/>
      <c r="N152" s="112"/>
      <c r="O152" s="112"/>
      <c r="P152" s="112"/>
      <c r="Q152" s="112"/>
      <c r="R152" s="112"/>
      <c r="S152" s="112"/>
      <c r="T152" s="112"/>
      <c r="U152" s="112"/>
      <c r="V152" s="112"/>
      <c r="W152" s="112"/>
      <c r="X152" s="112"/>
      <c r="Y152" s="112"/>
      <c r="Z152" s="112"/>
      <c r="AA152" s="112"/>
      <c r="AB152" s="112"/>
      <c r="AC152" s="112"/>
      <c r="AD152" s="112"/>
      <c r="AE152" s="112"/>
      <c r="AF152" s="112"/>
      <c r="AG152" s="112"/>
      <c r="AH152" s="112"/>
      <c r="AI152" s="112"/>
      <c r="AJ152" s="112"/>
      <c r="AK152" s="112"/>
      <c r="AL152" s="112"/>
      <c r="AM152" s="112"/>
      <c r="AN152" s="112"/>
      <c r="AO152" s="112"/>
      <c r="AP152" s="112"/>
      <c r="AQ152" s="112"/>
      <c r="AS152" s="20"/>
      <c r="AT152" s="20"/>
      <c r="AU152" s="20"/>
      <c r="AV152" s="20"/>
      <c r="AW152" s="20"/>
      <c r="AX152" s="20"/>
      <c r="AY152" s="20"/>
      <c r="AZ152" s="20"/>
    </row>
    <row r="153" ht="12.0" customHeight="1">
      <c r="A153" s="112"/>
      <c r="B153" s="112"/>
      <c r="C153" s="112"/>
      <c r="D153" s="112"/>
      <c r="E153" s="112"/>
      <c r="F153" s="112"/>
      <c r="G153" s="112"/>
      <c r="H153" s="112"/>
      <c r="I153" s="126"/>
      <c r="J153" s="112"/>
      <c r="K153" s="112"/>
      <c r="L153" s="112"/>
      <c r="M153" s="112"/>
      <c r="N153" s="112"/>
      <c r="O153" s="112"/>
      <c r="P153" s="112"/>
      <c r="Q153" s="112"/>
      <c r="R153" s="112"/>
      <c r="S153" s="112"/>
      <c r="T153" s="112"/>
      <c r="U153" s="112"/>
      <c r="V153" s="112"/>
      <c r="W153" s="112"/>
      <c r="X153" s="112"/>
      <c r="Y153" s="112"/>
      <c r="Z153" s="112"/>
      <c r="AA153" s="112"/>
      <c r="AB153" s="112"/>
      <c r="AC153" s="112"/>
      <c r="AD153" s="112"/>
      <c r="AE153" s="112"/>
      <c r="AF153" s="112"/>
      <c r="AG153" s="112"/>
      <c r="AH153" s="112"/>
      <c r="AI153" s="112"/>
      <c r="AJ153" s="112"/>
      <c r="AK153" s="112"/>
      <c r="AL153" s="112"/>
      <c r="AM153" s="112"/>
      <c r="AN153" s="112"/>
      <c r="AO153" s="112"/>
      <c r="AP153" s="112"/>
      <c r="AQ153" s="112"/>
      <c r="AS153" s="20"/>
      <c r="AT153" s="20"/>
      <c r="AU153" s="20"/>
      <c r="AV153" s="20"/>
      <c r="AW153" s="20"/>
      <c r="AX153" s="20"/>
      <c r="AY153" s="20"/>
      <c r="AZ153" s="20"/>
    </row>
    <row r="154" ht="12.0" customHeight="1">
      <c r="A154" s="112"/>
      <c r="B154" s="112"/>
      <c r="C154" s="112"/>
      <c r="D154" s="112"/>
      <c r="E154" s="112"/>
      <c r="F154" s="112"/>
      <c r="G154" s="112"/>
      <c r="H154" s="112"/>
      <c r="I154" s="126"/>
      <c r="J154" s="112"/>
      <c r="K154" s="112"/>
      <c r="L154" s="112"/>
      <c r="M154" s="112"/>
      <c r="N154" s="112"/>
      <c r="O154" s="112"/>
      <c r="P154" s="112"/>
      <c r="Q154" s="112"/>
      <c r="R154" s="112"/>
      <c r="S154" s="112"/>
      <c r="T154" s="112"/>
      <c r="U154" s="112"/>
      <c r="V154" s="112"/>
      <c r="W154" s="112"/>
      <c r="X154" s="112"/>
      <c r="Y154" s="112"/>
      <c r="Z154" s="112"/>
      <c r="AA154" s="112"/>
      <c r="AB154" s="112"/>
      <c r="AC154" s="112"/>
      <c r="AD154" s="112"/>
      <c r="AE154" s="112"/>
      <c r="AF154" s="112"/>
      <c r="AG154" s="112"/>
      <c r="AH154" s="112"/>
      <c r="AI154" s="112"/>
      <c r="AJ154" s="112"/>
      <c r="AK154" s="112"/>
      <c r="AL154" s="112"/>
      <c r="AM154" s="112"/>
      <c r="AN154" s="112"/>
      <c r="AO154" s="112"/>
      <c r="AP154" s="112"/>
      <c r="AQ154" s="112"/>
      <c r="AS154" s="20"/>
      <c r="AT154" s="20"/>
      <c r="AU154" s="20"/>
      <c r="AV154" s="20"/>
      <c r="AW154" s="20"/>
      <c r="AX154" s="20"/>
      <c r="AY154" s="20"/>
      <c r="AZ154" s="20"/>
    </row>
    <row r="155" ht="12.0" customHeight="1">
      <c r="A155" s="112"/>
      <c r="B155" s="112"/>
      <c r="C155" s="112"/>
      <c r="D155" s="112"/>
      <c r="E155" s="112"/>
      <c r="F155" s="112"/>
      <c r="G155" s="112"/>
      <c r="H155" s="112"/>
      <c r="I155" s="126"/>
      <c r="J155" s="112"/>
      <c r="K155" s="112"/>
      <c r="L155" s="112"/>
      <c r="M155" s="112"/>
      <c r="N155" s="112"/>
      <c r="O155" s="112"/>
      <c r="P155" s="112"/>
      <c r="Q155" s="112"/>
      <c r="R155" s="112"/>
      <c r="S155" s="112"/>
      <c r="T155" s="112"/>
      <c r="U155" s="112"/>
      <c r="V155" s="112"/>
      <c r="W155" s="112"/>
      <c r="X155" s="112"/>
      <c r="Y155" s="112"/>
      <c r="Z155" s="112"/>
      <c r="AA155" s="112"/>
      <c r="AB155" s="112"/>
      <c r="AC155" s="112"/>
      <c r="AD155" s="112"/>
      <c r="AE155" s="112"/>
      <c r="AF155" s="112"/>
      <c r="AG155" s="112"/>
      <c r="AH155" s="112"/>
      <c r="AI155" s="112"/>
      <c r="AJ155" s="112"/>
      <c r="AK155" s="112"/>
      <c r="AL155" s="112"/>
      <c r="AM155" s="112"/>
      <c r="AN155" s="112"/>
      <c r="AO155" s="112"/>
      <c r="AP155" s="112"/>
      <c r="AQ155" s="112"/>
      <c r="AS155" s="20"/>
      <c r="AT155" s="20"/>
      <c r="AU155" s="20"/>
      <c r="AV155" s="20"/>
      <c r="AW155" s="20"/>
      <c r="AX155" s="20"/>
      <c r="AY155" s="20"/>
      <c r="AZ155" s="20"/>
    </row>
    <row r="156" ht="12.0" customHeight="1">
      <c r="A156" s="112"/>
      <c r="B156" s="112"/>
      <c r="C156" s="112"/>
      <c r="D156" s="112"/>
      <c r="E156" s="112"/>
      <c r="F156" s="112"/>
      <c r="G156" s="112"/>
      <c r="H156" s="112"/>
      <c r="I156" s="126"/>
      <c r="J156" s="112"/>
      <c r="K156" s="112"/>
      <c r="L156" s="112"/>
      <c r="M156" s="112"/>
      <c r="N156" s="112"/>
      <c r="O156" s="112"/>
      <c r="P156" s="112"/>
      <c r="Q156" s="112"/>
      <c r="R156" s="112"/>
      <c r="S156" s="112"/>
      <c r="T156" s="112"/>
      <c r="U156" s="112"/>
      <c r="V156" s="112"/>
      <c r="W156" s="112"/>
      <c r="X156" s="112"/>
      <c r="Y156" s="112"/>
      <c r="Z156" s="112"/>
      <c r="AA156" s="112"/>
      <c r="AB156" s="112"/>
      <c r="AC156" s="112"/>
      <c r="AD156" s="112"/>
      <c r="AE156" s="112"/>
      <c r="AF156" s="112"/>
      <c r="AG156" s="112"/>
      <c r="AH156" s="112"/>
      <c r="AI156" s="112"/>
      <c r="AJ156" s="112"/>
      <c r="AK156" s="112"/>
      <c r="AL156" s="112"/>
      <c r="AM156" s="112"/>
      <c r="AN156" s="112"/>
      <c r="AO156" s="112"/>
      <c r="AP156" s="112"/>
      <c r="AQ156" s="112"/>
      <c r="AS156" s="20"/>
      <c r="AT156" s="20"/>
      <c r="AU156" s="20"/>
      <c r="AV156" s="20"/>
      <c r="AW156" s="20"/>
      <c r="AX156" s="20"/>
      <c r="AY156" s="20"/>
      <c r="AZ156" s="20"/>
    </row>
    <row r="157" ht="12.0" customHeight="1">
      <c r="A157" s="112"/>
      <c r="B157" s="112"/>
      <c r="C157" s="112"/>
      <c r="D157" s="112"/>
      <c r="E157" s="112"/>
      <c r="F157" s="112"/>
      <c r="G157" s="112"/>
      <c r="H157" s="112"/>
      <c r="I157" s="126"/>
      <c r="J157" s="112"/>
      <c r="K157" s="112"/>
      <c r="L157" s="112"/>
      <c r="M157" s="112"/>
      <c r="N157" s="112"/>
      <c r="O157" s="112"/>
      <c r="P157" s="112"/>
      <c r="Q157" s="112"/>
      <c r="R157" s="112"/>
      <c r="S157" s="112"/>
      <c r="T157" s="112"/>
      <c r="U157" s="112"/>
      <c r="V157" s="112"/>
      <c r="W157" s="112"/>
      <c r="X157" s="112"/>
      <c r="Y157" s="112"/>
      <c r="Z157" s="112"/>
      <c r="AA157" s="112"/>
      <c r="AB157" s="112"/>
      <c r="AC157" s="112"/>
      <c r="AD157" s="112"/>
      <c r="AE157" s="112"/>
      <c r="AF157" s="112"/>
      <c r="AG157" s="112"/>
      <c r="AH157" s="112"/>
      <c r="AI157" s="112"/>
      <c r="AJ157" s="112"/>
      <c r="AK157" s="112"/>
      <c r="AL157" s="112"/>
      <c r="AM157" s="112"/>
      <c r="AN157" s="112"/>
      <c r="AO157" s="112"/>
      <c r="AP157" s="112"/>
      <c r="AQ157" s="112"/>
      <c r="AS157" s="20"/>
      <c r="AT157" s="20"/>
      <c r="AU157" s="20"/>
      <c r="AV157" s="20"/>
      <c r="AW157" s="20"/>
      <c r="AX157" s="20"/>
      <c r="AY157" s="20"/>
      <c r="AZ157" s="20"/>
    </row>
    <row r="158" ht="12.0" customHeight="1">
      <c r="A158" s="112"/>
      <c r="B158" s="112"/>
      <c r="C158" s="112"/>
      <c r="D158" s="112"/>
      <c r="E158" s="112"/>
      <c r="F158" s="112"/>
      <c r="G158" s="112"/>
      <c r="H158" s="112"/>
      <c r="I158" s="126"/>
      <c r="J158" s="112"/>
      <c r="K158" s="112"/>
      <c r="L158" s="112"/>
      <c r="M158" s="112"/>
      <c r="N158" s="112"/>
      <c r="O158" s="112"/>
      <c r="P158" s="112"/>
      <c r="Q158" s="112"/>
      <c r="R158" s="112"/>
      <c r="S158" s="112"/>
      <c r="T158" s="112"/>
      <c r="U158" s="112"/>
      <c r="V158" s="112"/>
      <c r="W158" s="112"/>
      <c r="X158" s="112"/>
      <c r="Y158" s="112"/>
      <c r="Z158" s="112"/>
      <c r="AA158" s="112"/>
      <c r="AB158" s="112"/>
      <c r="AC158" s="112"/>
      <c r="AD158" s="112"/>
      <c r="AE158" s="112"/>
      <c r="AF158" s="112"/>
      <c r="AG158" s="112"/>
      <c r="AH158" s="112"/>
      <c r="AI158" s="112"/>
      <c r="AJ158" s="112"/>
      <c r="AK158" s="112"/>
      <c r="AL158" s="112"/>
      <c r="AM158" s="112"/>
      <c r="AN158" s="112"/>
      <c r="AO158" s="112"/>
      <c r="AP158" s="112"/>
      <c r="AQ158" s="112"/>
      <c r="AS158" s="20"/>
      <c r="AT158" s="20"/>
      <c r="AU158" s="20"/>
      <c r="AV158" s="20"/>
      <c r="AW158" s="20"/>
      <c r="AX158" s="20"/>
      <c r="AY158" s="20"/>
      <c r="AZ158" s="20"/>
    </row>
    <row r="159" ht="12.0" customHeight="1">
      <c r="A159" s="112"/>
      <c r="B159" s="112"/>
      <c r="C159" s="112"/>
      <c r="D159" s="112"/>
      <c r="E159" s="112"/>
      <c r="F159" s="112"/>
      <c r="G159" s="112"/>
      <c r="H159" s="112"/>
      <c r="I159" s="126"/>
      <c r="J159" s="112"/>
      <c r="K159" s="112"/>
      <c r="L159" s="112"/>
      <c r="M159" s="112"/>
      <c r="N159" s="112"/>
      <c r="O159" s="112"/>
      <c r="P159" s="112"/>
      <c r="Q159" s="112"/>
      <c r="R159" s="112"/>
      <c r="S159" s="112"/>
      <c r="T159" s="112"/>
      <c r="U159" s="112"/>
      <c r="V159" s="112"/>
      <c r="W159" s="112"/>
      <c r="X159" s="112"/>
      <c r="Y159" s="112"/>
      <c r="Z159" s="112"/>
      <c r="AA159" s="112"/>
      <c r="AB159" s="112"/>
      <c r="AC159" s="112"/>
      <c r="AD159" s="112"/>
      <c r="AE159" s="112"/>
      <c r="AF159" s="112"/>
      <c r="AG159" s="112"/>
      <c r="AH159" s="112"/>
      <c r="AI159" s="112"/>
      <c r="AJ159" s="112"/>
      <c r="AK159" s="112"/>
      <c r="AL159" s="112"/>
      <c r="AM159" s="112"/>
      <c r="AN159" s="112"/>
      <c r="AO159" s="112"/>
      <c r="AP159" s="112"/>
      <c r="AQ159" s="112"/>
      <c r="AS159" s="20"/>
      <c r="AT159" s="20"/>
      <c r="AU159" s="20"/>
      <c r="AV159" s="20"/>
      <c r="AW159" s="20"/>
      <c r="AX159" s="20"/>
      <c r="AY159" s="20"/>
      <c r="AZ159" s="20"/>
    </row>
    <row r="160" ht="12.0" customHeight="1">
      <c r="A160" s="112"/>
      <c r="B160" s="112"/>
      <c r="C160" s="112"/>
      <c r="D160" s="112"/>
      <c r="E160" s="112"/>
      <c r="F160" s="112"/>
      <c r="G160" s="112"/>
      <c r="H160" s="112"/>
      <c r="I160" s="126"/>
      <c r="J160" s="112"/>
      <c r="K160" s="112"/>
      <c r="L160" s="112"/>
      <c r="M160" s="112"/>
      <c r="N160" s="112"/>
      <c r="O160" s="112"/>
      <c r="P160" s="112"/>
      <c r="Q160" s="112"/>
      <c r="R160" s="112"/>
      <c r="S160" s="112"/>
      <c r="T160" s="112"/>
      <c r="U160" s="112"/>
      <c r="V160" s="112"/>
      <c r="W160" s="112"/>
      <c r="X160" s="112"/>
      <c r="Y160" s="112"/>
      <c r="Z160" s="112"/>
      <c r="AA160" s="112"/>
      <c r="AB160" s="112"/>
      <c r="AC160" s="112"/>
      <c r="AD160" s="112"/>
      <c r="AE160" s="112"/>
      <c r="AF160" s="112"/>
      <c r="AG160" s="112"/>
      <c r="AH160" s="112"/>
      <c r="AI160" s="112"/>
      <c r="AJ160" s="112"/>
      <c r="AK160" s="112"/>
      <c r="AL160" s="112"/>
      <c r="AM160" s="112"/>
      <c r="AN160" s="112"/>
      <c r="AO160" s="112"/>
      <c r="AP160" s="112"/>
      <c r="AQ160" s="112"/>
      <c r="AS160" s="20"/>
      <c r="AT160" s="20"/>
      <c r="AU160" s="20"/>
      <c r="AV160" s="20"/>
      <c r="AW160" s="20"/>
      <c r="AX160" s="20"/>
      <c r="AY160" s="20"/>
      <c r="AZ160" s="20"/>
    </row>
    <row r="161" ht="12.0" customHeight="1">
      <c r="A161" s="112"/>
      <c r="B161" s="112"/>
      <c r="C161" s="112"/>
      <c r="D161" s="112"/>
      <c r="E161" s="112"/>
      <c r="F161" s="112"/>
      <c r="G161" s="112"/>
      <c r="H161" s="112"/>
      <c r="I161" s="126"/>
      <c r="J161" s="112"/>
      <c r="K161" s="112"/>
      <c r="L161" s="112"/>
      <c r="M161" s="112"/>
      <c r="N161" s="112"/>
      <c r="O161" s="112"/>
      <c r="P161" s="112"/>
      <c r="Q161" s="112"/>
      <c r="R161" s="112"/>
      <c r="S161" s="112"/>
      <c r="T161" s="112"/>
      <c r="U161" s="112"/>
      <c r="V161" s="112"/>
      <c r="W161" s="112"/>
      <c r="X161" s="112"/>
      <c r="Y161" s="112"/>
      <c r="Z161" s="112"/>
      <c r="AA161" s="112"/>
      <c r="AB161" s="112"/>
      <c r="AC161" s="112"/>
      <c r="AD161" s="112"/>
      <c r="AE161" s="112"/>
      <c r="AF161" s="112"/>
      <c r="AG161" s="112"/>
      <c r="AH161" s="112"/>
      <c r="AI161" s="112"/>
      <c r="AJ161" s="112"/>
      <c r="AK161" s="112"/>
      <c r="AL161" s="112"/>
      <c r="AM161" s="112"/>
      <c r="AN161" s="112"/>
      <c r="AO161" s="112"/>
      <c r="AP161" s="112"/>
      <c r="AQ161" s="112"/>
      <c r="AS161" s="20"/>
      <c r="AT161" s="20"/>
      <c r="AU161" s="20"/>
      <c r="AV161" s="20"/>
      <c r="AW161" s="20"/>
      <c r="AX161" s="20"/>
      <c r="AY161" s="20"/>
      <c r="AZ161" s="20"/>
    </row>
    <row r="162" ht="12.0" customHeight="1">
      <c r="A162" s="112"/>
      <c r="B162" s="112"/>
      <c r="C162" s="112"/>
      <c r="D162" s="112"/>
      <c r="E162" s="112"/>
      <c r="F162" s="112"/>
      <c r="G162" s="112"/>
      <c r="H162" s="112"/>
      <c r="I162" s="126"/>
      <c r="J162" s="112"/>
      <c r="K162" s="112"/>
      <c r="L162" s="112"/>
      <c r="M162" s="112"/>
      <c r="N162" s="112"/>
      <c r="O162" s="112"/>
      <c r="P162" s="112"/>
      <c r="Q162" s="112"/>
      <c r="R162" s="112"/>
      <c r="S162" s="112"/>
      <c r="T162" s="112"/>
      <c r="U162" s="112"/>
      <c r="V162" s="112"/>
      <c r="W162" s="112"/>
      <c r="X162" s="112"/>
      <c r="Y162" s="112"/>
      <c r="Z162" s="112"/>
      <c r="AA162" s="112"/>
      <c r="AB162" s="112"/>
      <c r="AC162" s="112"/>
      <c r="AD162" s="112"/>
      <c r="AE162" s="112"/>
      <c r="AF162" s="112"/>
      <c r="AG162" s="112"/>
      <c r="AH162" s="112"/>
      <c r="AI162" s="112"/>
      <c r="AJ162" s="112"/>
      <c r="AK162" s="112"/>
      <c r="AL162" s="112"/>
      <c r="AM162" s="112"/>
      <c r="AN162" s="112"/>
      <c r="AO162" s="112"/>
      <c r="AP162" s="112"/>
      <c r="AQ162" s="112"/>
      <c r="AS162" s="20"/>
      <c r="AT162" s="20"/>
      <c r="AU162" s="20"/>
      <c r="AV162" s="20"/>
      <c r="AW162" s="20"/>
      <c r="AX162" s="20"/>
      <c r="AY162" s="20"/>
      <c r="AZ162" s="20"/>
    </row>
    <row r="163" ht="12.0" customHeight="1">
      <c r="A163" s="112"/>
      <c r="B163" s="112"/>
      <c r="C163" s="112"/>
      <c r="D163" s="112"/>
      <c r="E163" s="112"/>
      <c r="F163" s="112"/>
      <c r="G163" s="112"/>
      <c r="H163" s="112"/>
      <c r="I163" s="126"/>
      <c r="J163" s="112"/>
      <c r="K163" s="112"/>
      <c r="L163" s="112"/>
      <c r="M163" s="112"/>
      <c r="N163" s="112"/>
      <c r="O163" s="112"/>
      <c r="P163" s="112"/>
      <c r="Q163" s="112"/>
      <c r="R163" s="112"/>
      <c r="S163" s="112"/>
      <c r="T163" s="112"/>
      <c r="U163" s="112"/>
      <c r="V163" s="112"/>
      <c r="W163" s="112"/>
      <c r="X163" s="112"/>
      <c r="Y163" s="112"/>
      <c r="Z163" s="112"/>
      <c r="AA163" s="112"/>
      <c r="AB163" s="112"/>
      <c r="AC163" s="112"/>
      <c r="AD163" s="112"/>
      <c r="AE163" s="112"/>
      <c r="AF163" s="112"/>
      <c r="AG163" s="112"/>
      <c r="AH163" s="112"/>
      <c r="AI163" s="112"/>
      <c r="AJ163" s="112"/>
      <c r="AK163" s="112"/>
      <c r="AL163" s="112"/>
      <c r="AM163" s="112"/>
      <c r="AN163" s="112"/>
      <c r="AO163" s="112"/>
      <c r="AP163" s="112"/>
      <c r="AQ163" s="112"/>
      <c r="AS163" s="20"/>
      <c r="AT163" s="20"/>
      <c r="AU163" s="20"/>
      <c r="AV163" s="20"/>
      <c r="AW163" s="20"/>
      <c r="AX163" s="20"/>
      <c r="AY163" s="20"/>
      <c r="AZ163" s="20"/>
    </row>
    <row r="164" ht="12.0" customHeight="1">
      <c r="A164" s="112"/>
      <c r="B164" s="112"/>
      <c r="C164" s="112"/>
      <c r="D164" s="112"/>
      <c r="E164" s="112"/>
      <c r="F164" s="112"/>
      <c r="G164" s="112"/>
      <c r="H164" s="112"/>
      <c r="I164" s="126"/>
      <c r="J164" s="112"/>
      <c r="K164" s="112"/>
      <c r="L164" s="112"/>
      <c r="M164" s="112"/>
      <c r="N164" s="112"/>
      <c r="O164" s="112"/>
      <c r="P164" s="112"/>
      <c r="Q164" s="112"/>
      <c r="R164" s="112"/>
      <c r="S164" s="112"/>
      <c r="T164" s="112"/>
      <c r="U164" s="112"/>
      <c r="V164" s="112"/>
      <c r="W164" s="112"/>
      <c r="X164" s="112"/>
      <c r="Y164" s="112"/>
      <c r="Z164" s="112"/>
      <c r="AA164" s="112"/>
      <c r="AB164" s="112"/>
      <c r="AC164" s="112"/>
      <c r="AD164" s="112"/>
      <c r="AE164" s="112"/>
      <c r="AF164" s="112"/>
      <c r="AG164" s="112"/>
      <c r="AH164" s="112"/>
      <c r="AI164" s="112"/>
      <c r="AJ164" s="112"/>
      <c r="AK164" s="112"/>
      <c r="AL164" s="112"/>
      <c r="AM164" s="112"/>
      <c r="AN164" s="112"/>
      <c r="AO164" s="112"/>
      <c r="AP164" s="112"/>
      <c r="AQ164" s="112"/>
      <c r="AS164" s="20"/>
      <c r="AT164" s="20"/>
      <c r="AU164" s="20"/>
      <c r="AV164" s="20"/>
      <c r="AW164" s="20"/>
      <c r="AX164" s="20"/>
      <c r="AY164" s="20"/>
      <c r="AZ164" s="20"/>
    </row>
    <row r="165" ht="12.0" customHeight="1">
      <c r="A165" s="112"/>
      <c r="B165" s="112"/>
      <c r="C165" s="112"/>
      <c r="D165" s="112"/>
      <c r="E165" s="112"/>
      <c r="F165" s="112"/>
      <c r="G165" s="112"/>
      <c r="H165" s="112"/>
      <c r="I165" s="126"/>
      <c r="J165" s="112"/>
      <c r="K165" s="112"/>
      <c r="L165" s="112"/>
      <c r="M165" s="112"/>
      <c r="N165" s="112"/>
      <c r="O165" s="112"/>
      <c r="P165" s="112"/>
      <c r="Q165" s="112"/>
      <c r="R165" s="112"/>
      <c r="S165" s="112"/>
      <c r="T165" s="112"/>
      <c r="U165" s="112"/>
      <c r="V165" s="112"/>
      <c r="W165" s="112"/>
      <c r="X165" s="112"/>
      <c r="Y165" s="112"/>
      <c r="Z165" s="112"/>
      <c r="AA165" s="112"/>
      <c r="AB165" s="112"/>
      <c r="AC165" s="112"/>
      <c r="AD165" s="112"/>
      <c r="AE165" s="112"/>
      <c r="AF165" s="112"/>
      <c r="AG165" s="112"/>
      <c r="AH165" s="112"/>
      <c r="AI165" s="112"/>
      <c r="AJ165" s="112"/>
      <c r="AK165" s="112"/>
      <c r="AL165" s="112"/>
      <c r="AM165" s="112"/>
      <c r="AN165" s="112"/>
      <c r="AO165" s="112"/>
      <c r="AP165" s="112"/>
      <c r="AQ165" s="112"/>
      <c r="AS165" s="20"/>
      <c r="AT165" s="20"/>
      <c r="AU165" s="20"/>
      <c r="AV165" s="20"/>
      <c r="AW165" s="20"/>
      <c r="AX165" s="20"/>
      <c r="AY165" s="20"/>
      <c r="AZ165" s="20"/>
    </row>
    <row r="166" ht="12.0" customHeight="1">
      <c r="A166" s="112"/>
      <c r="B166" s="112"/>
      <c r="C166" s="112"/>
      <c r="D166" s="112"/>
      <c r="E166" s="112"/>
      <c r="F166" s="112"/>
      <c r="G166" s="112"/>
      <c r="H166" s="112"/>
      <c r="I166" s="126"/>
      <c r="J166" s="112"/>
      <c r="K166" s="112"/>
      <c r="L166" s="112"/>
      <c r="M166" s="112"/>
      <c r="N166" s="112"/>
      <c r="O166" s="112"/>
      <c r="P166" s="112"/>
      <c r="Q166" s="112"/>
      <c r="R166" s="112"/>
      <c r="S166" s="112"/>
      <c r="T166" s="112"/>
      <c r="U166" s="112"/>
      <c r="V166" s="112"/>
      <c r="W166" s="112"/>
      <c r="X166" s="112"/>
      <c r="Y166" s="112"/>
      <c r="Z166" s="112"/>
      <c r="AA166" s="112"/>
      <c r="AB166" s="112"/>
      <c r="AC166" s="112"/>
      <c r="AD166" s="112"/>
      <c r="AE166" s="112"/>
      <c r="AF166" s="112"/>
      <c r="AG166" s="112"/>
      <c r="AH166" s="112"/>
      <c r="AI166" s="112"/>
      <c r="AJ166" s="112"/>
      <c r="AK166" s="112"/>
      <c r="AL166" s="112"/>
      <c r="AM166" s="112"/>
      <c r="AN166" s="112"/>
      <c r="AO166" s="112"/>
      <c r="AP166" s="112"/>
      <c r="AQ166" s="112"/>
      <c r="AS166" s="20"/>
      <c r="AT166" s="20"/>
      <c r="AU166" s="20"/>
      <c r="AV166" s="20"/>
      <c r="AW166" s="20"/>
      <c r="AX166" s="20"/>
      <c r="AY166" s="20"/>
      <c r="AZ166" s="20"/>
    </row>
    <row r="167" ht="12.0" customHeight="1">
      <c r="A167" s="112"/>
      <c r="B167" s="112"/>
      <c r="C167" s="112"/>
      <c r="D167" s="112"/>
      <c r="E167" s="112"/>
      <c r="F167" s="112"/>
      <c r="G167" s="112"/>
      <c r="H167" s="112"/>
      <c r="I167" s="126"/>
      <c r="J167" s="112"/>
      <c r="K167" s="112"/>
      <c r="L167" s="112"/>
      <c r="M167" s="112"/>
      <c r="N167" s="112"/>
      <c r="O167" s="112"/>
      <c r="P167" s="112"/>
      <c r="Q167" s="112"/>
      <c r="R167" s="112"/>
      <c r="S167" s="112"/>
      <c r="T167" s="112"/>
      <c r="U167" s="112"/>
      <c r="V167" s="112"/>
      <c r="W167" s="112"/>
      <c r="X167" s="112"/>
      <c r="Y167" s="112"/>
      <c r="Z167" s="112"/>
      <c r="AA167" s="112"/>
      <c r="AB167" s="112"/>
      <c r="AC167" s="112"/>
      <c r="AD167" s="112"/>
      <c r="AE167" s="112"/>
      <c r="AF167" s="112"/>
      <c r="AG167" s="112"/>
      <c r="AH167" s="112"/>
      <c r="AI167" s="112"/>
      <c r="AJ167" s="112"/>
      <c r="AK167" s="112"/>
      <c r="AL167" s="112"/>
      <c r="AM167" s="112"/>
      <c r="AN167" s="112"/>
      <c r="AO167" s="112"/>
      <c r="AP167" s="112"/>
      <c r="AQ167" s="112"/>
      <c r="AS167" s="20"/>
      <c r="AT167" s="20"/>
      <c r="AU167" s="20"/>
      <c r="AV167" s="20"/>
      <c r="AW167" s="20"/>
      <c r="AX167" s="20"/>
      <c r="AY167" s="20"/>
      <c r="AZ167" s="20"/>
    </row>
    <row r="168" ht="12.0" customHeight="1">
      <c r="A168" s="112"/>
      <c r="B168" s="112"/>
      <c r="C168" s="112"/>
      <c r="D168" s="112"/>
      <c r="E168" s="112"/>
      <c r="F168" s="112"/>
      <c r="G168" s="112"/>
      <c r="H168" s="112"/>
      <c r="I168" s="126"/>
      <c r="J168" s="112"/>
      <c r="K168" s="112"/>
      <c r="L168" s="112"/>
      <c r="M168" s="112"/>
      <c r="N168" s="112"/>
      <c r="O168" s="112"/>
      <c r="P168" s="112"/>
      <c r="Q168" s="112"/>
      <c r="R168" s="112"/>
      <c r="S168" s="112"/>
      <c r="T168" s="112"/>
      <c r="U168" s="112"/>
      <c r="V168" s="112"/>
      <c r="W168" s="112"/>
      <c r="X168" s="112"/>
      <c r="Y168" s="112"/>
      <c r="Z168" s="112"/>
      <c r="AA168" s="112"/>
      <c r="AB168" s="112"/>
      <c r="AC168" s="112"/>
      <c r="AD168" s="112"/>
      <c r="AE168" s="112"/>
      <c r="AF168" s="112"/>
      <c r="AG168" s="112"/>
      <c r="AH168" s="112"/>
      <c r="AI168" s="112"/>
      <c r="AJ168" s="112"/>
      <c r="AK168" s="112"/>
      <c r="AL168" s="112"/>
      <c r="AM168" s="112"/>
      <c r="AN168" s="112"/>
      <c r="AO168" s="112"/>
      <c r="AP168" s="112"/>
      <c r="AQ168" s="112"/>
      <c r="AS168" s="20"/>
      <c r="AT168" s="20"/>
      <c r="AU168" s="20"/>
      <c r="AV168" s="20"/>
      <c r="AW168" s="20"/>
      <c r="AX168" s="20"/>
      <c r="AY168" s="20"/>
      <c r="AZ168" s="20"/>
    </row>
    <row r="169" ht="12.0" customHeight="1">
      <c r="A169" s="112"/>
      <c r="B169" s="112"/>
      <c r="C169" s="112"/>
      <c r="D169" s="112"/>
      <c r="E169" s="112"/>
      <c r="F169" s="112"/>
      <c r="G169" s="112"/>
      <c r="H169" s="112"/>
      <c r="I169" s="126"/>
      <c r="J169" s="112"/>
      <c r="K169" s="112"/>
      <c r="L169" s="112"/>
      <c r="M169" s="112"/>
      <c r="N169" s="112"/>
      <c r="O169" s="112"/>
      <c r="P169" s="112"/>
      <c r="Q169" s="112"/>
      <c r="R169" s="112"/>
      <c r="S169" s="112"/>
      <c r="T169" s="112"/>
      <c r="U169" s="112"/>
      <c r="V169" s="112"/>
      <c r="W169" s="112"/>
      <c r="X169" s="112"/>
      <c r="Y169" s="112"/>
      <c r="Z169" s="112"/>
      <c r="AA169" s="112"/>
      <c r="AB169" s="112"/>
      <c r="AC169" s="112"/>
      <c r="AD169" s="112"/>
      <c r="AE169" s="112"/>
      <c r="AF169" s="112"/>
      <c r="AG169" s="112"/>
      <c r="AH169" s="112"/>
      <c r="AI169" s="112"/>
      <c r="AJ169" s="112"/>
      <c r="AK169" s="112"/>
      <c r="AL169" s="112"/>
      <c r="AM169" s="112"/>
      <c r="AN169" s="112"/>
      <c r="AO169" s="112"/>
      <c r="AP169" s="112"/>
      <c r="AQ169" s="112"/>
      <c r="AS169" s="20"/>
      <c r="AT169" s="20"/>
      <c r="AU169" s="20"/>
      <c r="AV169" s="20"/>
      <c r="AW169" s="20"/>
      <c r="AX169" s="20"/>
      <c r="AY169" s="20"/>
      <c r="AZ169" s="20"/>
    </row>
    <row r="170" ht="12.0" customHeight="1">
      <c r="A170" s="112"/>
      <c r="B170" s="112"/>
      <c r="C170" s="112"/>
      <c r="D170" s="112"/>
      <c r="E170" s="112"/>
      <c r="F170" s="112"/>
      <c r="G170" s="112"/>
      <c r="H170" s="112"/>
      <c r="I170" s="126"/>
      <c r="J170" s="112"/>
      <c r="K170" s="112"/>
      <c r="L170" s="112"/>
      <c r="M170" s="112"/>
      <c r="N170" s="112"/>
      <c r="O170" s="112"/>
      <c r="P170" s="112"/>
      <c r="Q170" s="112"/>
      <c r="R170" s="112"/>
      <c r="S170" s="112"/>
      <c r="T170" s="112"/>
      <c r="U170" s="112"/>
      <c r="V170" s="112"/>
      <c r="W170" s="112"/>
      <c r="X170" s="112"/>
      <c r="Y170" s="112"/>
      <c r="Z170" s="112"/>
      <c r="AA170" s="112"/>
      <c r="AB170" s="112"/>
      <c r="AC170" s="112"/>
      <c r="AD170" s="112"/>
      <c r="AE170" s="112"/>
      <c r="AF170" s="112"/>
      <c r="AG170" s="112"/>
      <c r="AH170" s="112"/>
      <c r="AI170" s="112"/>
      <c r="AJ170" s="112"/>
      <c r="AK170" s="112"/>
      <c r="AL170" s="112"/>
      <c r="AM170" s="112"/>
      <c r="AN170" s="112"/>
      <c r="AO170" s="112"/>
      <c r="AP170" s="112"/>
      <c r="AQ170" s="112"/>
      <c r="AS170" s="20"/>
      <c r="AT170" s="20"/>
      <c r="AU170" s="20"/>
      <c r="AV170" s="20"/>
      <c r="AW170" s="20"/>
      <c r="AX170" s="20"/>
      <c r="AY170" s="20"/>
      <c r="AZ170" s="20"/>
    </row>
    <row r="171" ht="12.0" customHeight="1">
      <c r="A171" s="112"/>
      <c r="B171" s="112"/>
      <c r="C171" s="112"/>
      <c r="D171" s="112"/>
      <c r="E171" s="112"/>
      <c r="F171" s="112"/>
      <c r="G171" s="112"/>
      <c r="H171" s="112"/>
      <c r="I171" s="126"/>
      <c r="J171" s="112"/>
      <c r="K171" s="112"/>
      <c r="L171" s="112"/>
      <c r="M171" s="112"/>
      <c r="N171" s="112"/>
      <c r="O171" s="112"/>
      <c r="P171" s="112"/>
      <c r="Q171" s="112"/>
      <c r="R171" s="112"/>
      <c r="S171" s="112"/>
      <c r="T171" s="112"/>
      <c r="U171" s="112"/>
      <c r="V171" s="112"/>
      <c r="W171" s="112"/>
      <c r="X171" s="112"/>
      <c r="Y171" s="112"/>
      <c r="Z171" s="112"/>
      <c r="AA171" s="112"/>
      <c r="AB171" s="112"/>
      <c r="AC171" s="112"/>
      <c r="AD171" s="112"/>
      <c r="AE171" s="112"/>
      <c r="AF171" s="112"/>
      <c r="AG171" s="112"/>
      <c r="AH171" s="112"/>
      <c r="AI171" s="112"/>
      <c r="AJ171" s="112"/>
      <c r="AK171" s="112"/>
      <c r="AL171" s="112"/>
      <c r="AM171" s="112"/>
      <c r="AN171" s="112"/>
      <c r="AO171" s="112"/>
      <c r="AP171" s="112"/>
      <c r="AQ171" s="112"/>
      <c r="AS171" s="20"/>
      <c r="AT171" s="20"/>
      <c r="AU171" s="20"/>
      <c r="AV171" s="20"/>
      <c r="AW171" s="20"/>
      <c r="AX171" s="20"/>
      <c r="AY171" s="20"/>
      <c r="AZ171" s="20"/>
    </row>
    <row r="172" ht="12.0" customHeight="1">
      <c r="A172" s="112"/>
      <c r="B172" s="112"/>
      <c r="C172" s="112"/>
      <c r="D172" s="112"/>
      <c r="E172" s="112"/>
      <c r="F172" s="112"/>
      <c r="G172" s="112"/>
      <c r="H172" s="112"/>
      <c r="I172" s="126"/>
      <c r="J172" s="112"/>
      <c r="K172" s="112"/>
      <c r="L172" s="112"/>
      <c r="M172" s="112"/>
      <c r="N172" s="112"/>
      <c r="O172" s="112"/>
      <c r="P172" s="112"/>
      <c r="Q172" s="112"/>
      <c r="R172" s="112"/>
      <c r="S172" s="112"/>
      <c r="T172" s="112"/>
      <c r="U172" s="112"/>
      <c r="V172" s="112"/>
      <c r="W172" s="112"/>
      <c r="X172" s="112"/>
      <c r="Y172" s="112"/>
      <c r="Z172" s="112"/>
      <c r="AA172" s="112"/>
      <c r="AB172" s="112"/>
      <c r="AC172" s="112"/>
      <c r="AD172" s="112"/>
      <c r="AE172" s="112"/>
      <c r="AF172" s="112"/>
      <c r="AG172" s="112"/>
      <c r="AH172" s="112"/>
      <c r="AI172" s="112"/>
      <c r="AJ172" s="112"/>
      <c r="AK172" s="112"/>
      <c r="AL172" s="112"/>
      <c r="AM172" s="112"/>
      <c r="AN172" s="112"/>
      <c r="AO172" s="112"/>
      <c r="AP172" s="112"/>
      <c r="AQ172" s="112"/>
      <c r="AS172" s="20"/>
      <c r="AT172" s="20"/>
      <c r="AU172" s="20"/>
      <c r="AV172" s="20"/>
      <c r="AW172" s="20"/>
      <c r="AX172" s="20"/>
      <c r="AY172" s="20"/>
      <c r="AZ172" s="20"/>
    </row>
    <row r="173" ht="12.0" customHeight="1">
      <c r="A173" s="112"/>
      <c r="B173" s="112"/>
      <c r="C173" s="112"/>
      <c r="D173" s="112"/>
      <c r="E173" s="112"/>
      <c r="F173" s="112"/>
      <c r="G173" s="112"/>
      <c r="H173" s="112"/>
      <c r="I173" s="126"/>
      <c r="J173" s="112"/>
      <c r="K173" s="112"/>
      <c r="L173" s="112"/>
      <c r="M173" s="112"/>
      <c r="N173" s="112"/>
      <c r="O173" s="112"/>
      <c r="P173" s="112"/>
      <c r="Q173" s="112"/>
      <c r="R173" s="112"/>
      <c r="S173" s="112"/>
      <c r="T173" s="112"/>
      <c r="U173" s="112"/>
      <c r="V173" s="112"/>
      <c r="W173" s="112"/>
      <c r="X173" s="112"/>
      <c r="Y173" s="112"/>
      <c r="Z173" s="112"/>
      <c r="AA173" s="112"/>
      <c r="AB173" s="112"/>
      <c r="AC173" s="112"/>
      <c r="AD173" s="112"/>
      <c r="AE173" s="112"/>
      <c r="AF173" s="112"/>
      <c r="AG173" s="112"/>
      <c r="AH173" s="112"/>
      <c r="AI173" s="112"/>
      <c r="AJ173" s="112"/>
      <c r="AK173" s="112"/>
      <c r="AL173" s="112"/>
      <c r="AM173" s="112"/>
      <c r="AN173" s="112"/>
      <c r="AO173" s="112"/>
      <c r="AP173" s="112"/>
      <c r="AQ173" s="112"/>
      <c r="AS173" s="20"/>
      <c r="AT173" s="20"/>
      <c r="AU173" s="20"/>
      <c r="AV173" s="20"/>
      <c r="AW173" s="20"/>
      <c r="AX173" s="20"/>
      <c r="AY173" s="20"/>
      <c r="AZ173" s="20"/>
    </row>
    <row r="174" ht="12.0" customHeight="1">
      <c r="A174" s="112"/>
      <c r="B174" s="112"/>
      <c r="C174" s="112"/>
      <c r="D174" s="112"/>
      <c r="E174" s="112"/>
      <c r="F174" s="112"/>
      <c r="G174" s="112"/>
      <c r="H174" s="112"/>
      <c r="I174" s="126"/>
      <c r="J174" s="112"/>
      <c r="K174" s="112"/>
      <c r="L174" s="112"/>
      <c r="M174" s="112"/>
      <c r="N174" s="112"/>
      <c r="O174" s="112"/>
      <c r="P174" s="112"/>
      <c r="Q174" s="112"/>
      <c r="R174" s="112"/>
      <c r="S174" s="112"/>
      <c r="T174" s="112"/>
      <c r="U174" s="112"/>
      <c r="V174" s="112"/>
      <c r="W174" s="112"/>
      <c r="X174" s="112"/>
      <c r="Y174" s="112"/>
      <c r="Z174" s="112"/>
      <c r="AA174" s="112"/>
      <c r="AB174" s="112"/>
      <c r="AC174" s="112"/>
      <c r="AD174" s="112"/>
      <c r="AE174" s="112"/>
      <c r="AF174" s="112"/>
      <c r="AG174" s="112"/>
      <c r="AH174" s="112"/>
      <c r="AI174" s="112"/>
      <c r="AJ174" s="112"/>
      <c r="AK174" s="112"/>
      <c r="AL174" s="112"/>
      <c r="AM174" s="112"/>
      <c r="AN174" s="112"/>
      <c r="AO174" s="112"/>
      <c r="AP174" s="112"/>
      <c r="AQ174" s="112"/>
      <c r="AS174" s="20"/>
      <c r="AT174" s="20"/>
      <c r="AU174" s="20"/>
      <c r="AV174" s="20"/>
      <c r="AW174" s="20"/>
      <c r="AX174" s="20"/>
      <c r="AY174" s="20"/>
      <c r="AZ174" s="20"/>
    </row>
    <row r="175" ht="12.0" customHeight="1">
      <c r="A175" s="112"/>
      <c r="B175" s="112"/>
      <c r="C175" s="112"/>
      <c r="D175" s="112"/>
      <c r="E175" s="112"/>
      <c r="F175" s="112"/>
      <c r="G175" s="112"/>
      <c r="H175" s="112"/>
      <c r="I175" s="126"/>
      <c r="J175" s="112"/>
      <c r="K175" s="112"/>
      <c r="L175" s="112"/>
      <c r="M175" s="112"/>
      <c r="N175" s="112"/>
      <c r="O175" s="112"/>
      <c r="P175" s="112"/>
      <c r="Q175" s="112"/>
      <c r="R175" s="112"/>
      <c r="S175" s="112"/>
      <c r="T175" s="112"/>
      <c r="U175" s="112"/>
      <c r="V175" s="112"/>
      <c r="W175" s="112"/>
      <c r="X175" s="112"/>
      <c r="Y175" s="112"/>
      <c r="Z175" s="112"/>
      <c r="AA175" s="112"/>
      <c r="AB175" s="112"/>
      <c r="AC175" s="112"/>
      <c r="AD175" s="112"/>
      <c r="AE175" s="112"/>
      <c r="AF175" s="112"/>
      <c r="AG175" s="112"/>
      <c r="AH175" s="112"/>
      <c r="AI175" s="112"/>
      <c r="AJ175" s="112"/>
      <c r="AK175" s="112"/>
      <c r="AL175" s="112"/>
      <c r="AM175" s="112"/>
      <c r="AN175" s="112"/>
      <c r="AO175" s="112"/>
      <c r="AP175" s="112"/>
      <c r="AQ175" s="112"/>
      <c r="AS175" s="20"/>
      <c r="AT175" s="20"/>
      <c r="AU175" s="20"/>
      <c r="AV175" s="20"/>
      <c r="AW175" s="20"/>
      <c r="AX175" s="20"/>
      <c r="AY175" s="20"/>
      <c r="AZ175" s="20"/>
    </row>
    <row r="176" ht="12.0" customHeight="1">
      <c r="A176" s="112"/>
      <c r="B176" s="112"/>
      <c r="C176" s="112"/>
      <c r="D176" s="112"/>
      <c r="E176" s="112"/>
      <c r="F176" s="112"/>
      <c r="G176" s="112"/>
      <c r="H176" s="112"/>
      <c r="I176" s="126"/>
      <c r="J176" s="112"/>
      <c r="K176" s="112"/>
      <c r="L176" s="112"/>
      <c r="M176" s="112"/>
      <c r="N176" s="112"/>
      <c r="O176" s="112"/>
      <c r="P176" s="112"/>
      <c r="Q176" s="112"/>
      <c r="R176" s="112"/>
      <c r="S176" s="112"/>
      <c r="T176" s="112"/>
      <c r="U176" s="112"/>
      <c r="V176" s="112"/>
      <c r="W176" s="112"/>
      <c r="X176" s="112"/>
      <c r="Y176" s="112"/>
      <c r="Z176" s="112"/>
      <c r="AA176" s="112"/>
      <c r="AB176" s="112"/>
      <c r="AC176" s="112"/>
      <c r="AD176" s="112"/>
      <c r="AE176" s="112"/>
      <c r="AF176" s="112"/>
      <c r="AG176" s="112"/>
      <c r="AH176" s="112"/>
      <c r="AI176" s="112"/>
      <c r="AJ176" s="112"/>
      <c r="AK176" s="112"/>
      <c r="AL176" s="112"/>
      <c r="AM176" s="112"/>
      <c r="AN176" s="112"/>
      <c r="AO176" s="112"/>
      <c r="AP176" s="112"/>
      <c r="AQ176" s="112"/>
      <c r="AS176" s="20"/>
      <c r="AT176" s="20"/>
      <c r="AU176" s="20"/>
      <c r="AV176" s="20"/>
      <c r="AW176" s="20"/>
      <c r="AX176" s="20"/>
      <c r="AY176" s="20"/>
      <c r="AZ176" s="20"/>
    </row>
    <row r="177" ht="12.0" customHeight="1">
      <c r="A177" s="112"/>
      <c r="B177" s="112"/>
      <c r="C177" s="112"/>
      <c r="D177" s="112"/>
      <c r="E177" s="112"/>
      <c r="F177" s="112"/>
      <c r="G177" s="112"/>
      <c r="H177" s="112"/>
      <c r="I177" s="126"/>
      <c r="J177" s="112"/>
      <c r="K177" s="112"/>
      <c r="L177" s="112"/>
      <c r="M177" s="112"/>
      <c r="N177" s="112"/>
      <c r="O177" s="112"/>
      <c r="P177" s="112"/>
      <c r="Q177" s="112"/>
      <c r="R177" s="112"/>
      <c r="S177" s="112"/>
      <c r="T177" s="112"/>
      <c r="U177" s="112"/>
      <c r="V177" s="112"/>
      <c r="W177" s="112"/>
      <c r="X177" s="112"/>
      <c r="Y177" s="112"/>
      <c r="Z177" s="112"/>
      <c r="AA177" s="112"/>
      <c r="AB177" s="112"/>
      <c r="AC177" s="112"/>
      <c r="AD177" s="112"/>
      <c r="AE177" s="112"/>
      <c r="AF177" s="112"/>
      <c r="AG177" s="112"/>
      <c r="AH177" s="112"/>
      <c r="AI177" s="112"/>
      <c r="AJ177" s="112"/>
      <c r="AK177" s="112"/>
      <c r="AL177" s="112"/>
      <c r="AM177" s="112"/>
      <c r="AN177" s="112"/>
      <c r="AO177" s="112"/>
      <c r="AP177" s="112"/>
      <c r="AQ177" s="112"/>
      <c r="AS177" s="20"/>
      <c r="AT177" s="20"/>
      <c r="AU177" s="20"/>
      <c r="AV177" s="20"/>
      <c r="AW177" s="20"/>
      <c r="AX177" s="20"/>
      <c r="AY177" s="20"/>
      <c r="AZ177" s="20"/>
    </row>
    <row r="178" ht="12.0" customHeight="1">
      <c r="A178" s="112"/>
      <c r="B178" s="112"/>
      <c r="C178" s="112"/>
      <c r="D178" s="112"/>
      <c r="E178" s="112"/>
      <c r="F178" s="112"/>
      <c r="G178" s="112"/>
      <c r="H178" s="112"/>
      <c r="I178" s="126"/>
      <c r="J178" s="112"/>
      <c r="K178" s="112"/>
      <c r="L178" s="112"/>
      <c r="M178" s="112"/>
      <c r="N178" s="112"/>
      <c r="O178" s="112"/>
      <c r="P178" s="112"/>
      <c r="Q178" s="112"/>
      <c r="R178" s="112"/>
      <c r="S178" s="112"/>
      <c r="T178" s="112"/>
      <c r="U178" s="112"/>
      <c r="V178" s="112"/>
      <c r="W178" s="112"/>
      <c r="X178" s="112"/>
      <c r="Y178" s="112"/>
      <c r="Z178" s="112"/>
      <c r="AA178" s="112"/>
      <c r="AB178" s="112"/>
      <c r="AC178" s="112"/>
      <c r="AD178" s="112"/>
      <c r="AE178" s="112"/>
      <c r="AF178" s="112"/>
      <c r="AG178" s="112"/>
      <c r="AH178" s="112"/>
      <c r="AI178" s="112"/>
      <c r="AJ178" s="112"/>
      <c r="AK178" s="112"/>
      <c r="AL178" s="112"/>
      <c r="AM178" s="112"/>
      <c r="AN178" s="112"/>
      <c r="AO178" s="112"/>
      <c r="AP178" s="112"/>
      <c r="AQ178" s="112"/>
      <c r="AS178" s="20"/>
      <c r="AT178" s="20"/>
      <c r="AU178" s="20"/>
      <c r="AV178" s="20"/>
      <c r="AW178" s="20"/>
      <c r="AX178" s="20"/>
      <c r="AY178" s="20"/>
      <c r="AZ178" s="20"/>
    </row>
    <row r="179" ht="12.0" customHeight="1">
      <c r="A179" s="112"/>
      <c r="B179" s="112"/>
      <c r="C179" s="112"/>
      <c r="D179" s="112"/>
      <c r="E179" s="112"/>
      <c r="F179" s="112"/>
      <c r="G179" s="112"/>
      <c r="H179" s="112"/>
      <c r="I179" s="126"/>
      <c r="J179" s="112"/>
      <c r="K179" s="112"/>
      <c r="L179" s="112"/>
      <c r="M179" s="112"/>
      <c r="N179" s="112"/>
      <c r="O179" s="112"/>
      <c r="P179" s="112"/>
      <c r="Q179" s="112"/>
      <c r="R179" s="112"/>
      <c r="S179" s="112"/>
      <c r="T179" s="112"/>
      <c r="U179" s="112"/>
      <c r="V179" s="112"/>
      <c r="W179" s="112"/>
      <c r="X179" s="112"/>
      <c r="Y179" s="112"/>
      <c r="Z179" s="112"/>
      <c r="AA179" s="112"/>
      <c r="AB179" s="112"/>
      <c r="AC179" s="112"/>
      <c r="AD179" s="112"/>
      <c r="AE179" s="112"/>
      <c r="AF179" s="112"/>
      <c r="AG179" s="112"/>
      <c r="AH179" s="112"/>
      <c r="AI179" s="112"/>
      <c r="AJ179" s="112"/>
      <c r="AK179" s="112"/>
      <c r="AL179" s="112"/>
      <c r="AM179" s="112"/>
      <c r="AN179" s="112"/>
      <c r="AO179" s="112"/>
      <c r="AP179" s="112"/>
      <c r="AQ179" s="112"/>
      <c r="AS179" s="20"/>
      <c r="AT179" s="20"/>
      <c r="AU179" s="20"/>
      <c r="AV179" s="20"/>
      <c r="AW179" s="20"/>
      <c r="AX179" s="20"/>
      <c r="AY179" s="20"/>
      <c r="AZ179" s="20"/>
    </row>
    <row r="180" ht="12.0" customHeight="1">
      <c r="A180" s="112"/>
      <c r="B180" s="112"/>
      <c r="C180" s="112"/>
      <c r="D180" s="112"/>
      <c r="E180" s="112"/>
      <c r="F180" s="112"/>
      <c r="G180" s="112"/>
      <c r="H180" s="112"/>
      <c r="I180" s="126"/>
      <c r="J180" s="112"/>
      <c r="K180" s="112"/>
      <c r="L180" s="112"/>
      <c r="M180" s="112"/>
      <c r="N180" s="112"/>
      <c r="O180" s="112"/>
      <c r="P180" s="112"/>
      <c r="Q180" s="112"/>
      <c r="R180" s="112"/>
      <c r="S180" s="112"/>
      <c r="T180" s="112"/>
      <c r="U180" s="112"/>
      <c r="V180" s="112"/>
      <c r="W180" s="112"/>
      <c r="X180" s="112"/>
      <c r="Y180" s="112"/>
      <c r="Z180" s="112"/>
      <c r="AA180" s="112"/>
      <c r="AB180" s="112"/>
      <c r="AC180" s="112"/>
      <c r="AD180" s="112"/>
      <c r="AE180" s="112"/>
      <c r="AF180" s="112"/>
      <c r="AG180" s="112"/>
      <c r="AH180" s="112"/>
      <c r="AI180" s="112"/>
      <c r="AJ180" s="112"/>
      <c r="AK180" s="112"/>
      <c r="AL180" s="112"/>
      <c r="AM180" s="112"/>
      <c r="AN180" s="112"/>
      <c r="AO180" s="112"/>
      <c r="AP180" s="112"/>
      <c r="AQ180" s="112"/>
      <c r="AS180" s="20"/>
      <c r="AT180" s="20"/>
      <c r="AU180" s="20"/>
      <c r="AV180" s="20"/>
      <c r="AW180" s="20"/>
      <c r="AX180" s="20"/>
      <c r="AY180" s="20"/>
      <c r="AZ180" s="20"/>
    </row>
    <row r="181" ht="12.0" customHeight="1">
      <c r="A181" s="112"/>
      <c r="B181" s="112"/>
      <c r="C181" s="112"/>
      <c r="D181" s="112"/>
      <c r="E181" s="112"/>
      <c r="F181" s="112"/>
      <c r="G181" s="112"/>
      <c r="H181" s="112"/>
      <c r="I181" s="126"/>
      <c r="J181" s="112"/>
      <c r="K181" s="112"/>
      <c r="L181" s="112"/>
      <c r="M181" s="112"/>
      <c r="N181" s="112"/>
      <c r="O181" s="112"/>
      <c r="P181" s="112"/>
      <c r="Q181" s="112"/>
      <c r="R181" s="112"/>
      <c r="S181" s="112"/>
      <c r="T181" s="112"/>
      <c r="U181" s="112"/>
      <c r="V181" s="112"/>
      <c r="W181" s="112"/>
      <c r="X181" s="112"/>
      <c r="Y181" s="112"/>
      <c r="Z181" s="112"/>
      <c r="AA181" s="112"/>
      <c r="AB181" s="112"/>
      <c r="AC181" s="112"/>
      <c r="AD181" s="112"/>
      <c r="AE181" s="112"/>
      <c r="AF181" s="112"/>
      <c r="AG181" s="112"/>
      <c r="AH181" s="112"/>
      <c r="AI181" s="112"/>
      <c r="AJ181" s="112"/>
      <c r="AK181" s="112"/>
      <c r="AL181" s="112"/>
      <c r="AM181" s="112"/>
      <c r="AN181" s="112"/>
      <c r="AO181" s="112"/>
      <c r="AP181" s="112"/>
      <c r="AQ181" s="112"/>
      <c r="AS181" s="20"/>
      <c r="AT181" s="20"/>
      <c r="AU181" s="20"/>
      <c r="AV181" s="20"/>
      <c r="AW181" s="20"/>
      <c r="AX181" s="20"/>
      <c r="AY181" s="20"/>
      <c r="AZ181" s="20"/>
    </row>
    <row r="182" ht="12.0" customHeight="1">
      <c r="A182" s="112"/>
      <c r="B182" s="112"/>
      <c r="C182" s="112"/>
      <c r="D182" s="112"/>
      <c r="E182" s="112"/>
      <c r="F182" s="112"/>
      <c r="G182" s="112"/>
      <c r="H182" s="112"/>
      <c r="I182" s="126"/>
      <c r="J182" s="112"/>
      <c r="K182" s="112"/>
      <c r="L182" s="112"/>
      <c r="M182" s="112"/>
      <c r="N182" s="112"/>
      <c r="O182" s="112"/>
      <c r="P182" s="112"/>
      <c r="Q182" s="112"/>
      <c r="R182" s="112"/>
      <c r="S182" s="112"/>
      <c r="T182" s="112"/>
      <c r="U182" s="112"/>
      <c r="V182" s="112"/>
      <c r="W182" s="112"/>
      <c r="X182" s="112"/>
      <c r="Y182" s="112"/>
      <c r="Z182" s="112"/>
      <c r="AA182" s="112"/>
      <c r="AB182" s="112"/>
      <c r="AC182" s="112"/>
      <c r="AD182" s="112"/>
      <c r="AE182" s="112"/>
      <c r="AF182" s="112"/>
      <c r="AG182" s="112"/>
      <c r="AH182" s="112"/>
      <c r="AI182" s="112"/>
      <c r="AJ182" s="112"/>
      <c r="AK182" s="112"/>
      <c r="AL182" s="112"/>
      <c r="AM182" s="112"/>
      <c r="AN182" s="112"/>
      <c r="AO182" s="112"/>
      <c r="AP182" s="112"/>
      <c r="AQ182" s="112"/>
      <c r="AS182" s="20"/>
      <c r="AT182" s="20"/>
      <c r="AU182" s="20"/>
      <c r="AV182" s="20"/>
      <c r="AW182" s="20"/>
      <c r="AX182" s="20"/>
      <c r="AY182" s="20"/>
      <c r="AZ182" s="20"/>
    </row>
    <row r="183" ht="12.0" customHeight="1">
      <c r="A183" s="112"/>
      <c r="B183" s="112"/>
      <c r="C183" s="112"/>
      <c r="D183" s="112"/>
      <c r="E183" s="112"/>
      <c r="F183" s="112"/>
      <c r="G183" s="112"/>
      <c r="H183" s="112"/>
      <c r="I183" s="126"/>
      <c r="J183" s="112"/>
      <c r="K183" s="112"/>
      <c r="L183" s="112"/>
      <c r="M183" s="112"/>
      <c r="N183" s="112"/>
      <c r="O183" s="112"/>
      <c r="P183" s="112"/>
      <c r="Q183" s="112"/>
      <c r="R183" s="112"/>
      <c r="S183" s="112"/>
      <c r="T183" s="112"/>
      <c r="U183" s="112"/>
      <c r="V183" s="112"/>
      <c r="W183" s="112"/>
      <c r="X183" s="112"/>
      <c r="Y183" s="112"/>
      <c r="Z183" s="112"/>
      <c r="AA183" s="112"/>
      <c r="AB183" s="112"/>
      <c r="AC183" s="112"/>
      <c r="AD183" s="112"/>
      <c r="AE183" s="112"/>
      <c r="AF183" s="112"/>
      <c r="AG183" s="112"/>
      <c r="AH183" s="112"/>
      <c r="AI183" s="112"/>
      <c r="AJ183" s="112"/>
      <c r="AK183" s="112"/>
      <c r="AL183" s="112"/>
      <c r="AM183" s="112"/>
      <c r="AN183" s="112"/>
      <c r="AO183" s="112"/>
      <c r="AP183" s="112"/>
      <c r="AQ183" s="112"/>
      <c r="AS183" s="20"/>
      <c r="AT183" s="20"/>
      <c r="AU183" s="20"/>
      <c r="AV183" s="20"/>
      <c r="AW183" s="20"/>
      <c r="AX183" s="20"/>
      <c r="AY183" s="20"/>
      <c r="AZ183" s="20"/>
    </row>
    <row r="184" ht="12.0" customHeight="1">
      <c r="A184" s="112"/>
      <c r="B184" s="112"/>
      <c r="C184" s="112"/>
      <c r="D184" s="112"/>
      <c r="E184" s="112"/>
      <c r="F184" s="112"/>
      <c r="G184" s="112"/>
      <c r="H184" s="112"/>
      <c r="I184" s="126"/>
      <c r="J184" s="112"/>
      <c r="K184" s="112"/>
      <c r="L184" s="112"/>
      <c r="M184" s="112"/>
      <c r="N184" s="112"/>
      <c r="O184" s="112"/>
      <c r="P184" s="112"/>
      <c r="Q184" s="112"/>
      <c r="R184" s="112"/>
      <c r="S184" s="112"/>
      <c r="T184" s="112"/>
      <c r="U184" s="112"/>
      <c r="V184" s="112"/>
      <c r="W184" s="112"/>
      <c r="X184" s="112"/>
      <c r="Y184" s="112"/>
      <c r="Z184" s="112"/>
      <c r="AA184" s="112"/>
      <c r="AB184" s="112"/>
      <c r="AC184" s="112"/>
      <c r="AD184" s="112"/>
      <c r="AE184" s="112"/>
      <c r="AF184" s="112"/>
      <c r="AG184" s="112"/>
      <c r="AH184" s="112"/>
      <c r="AI184" s="112"/>
      <c r="AJ184" s="112"/>
      <c r="AK184" s="112"/>
      <c r="AL184" s="112"/>
      <c r="AM184" s="112"/>
      <c r="AN184" s="112"/>
      <c r="AO184" s="112"/>
      <c r="AP184" s="112"/>
      <c r="AQ184" s="112"/>
      <c r="AS184" s="20"/>
      <c r="AT184" s="20"/>
      <c r="AU184" s="20"/>
      <c r="AV184" s="20"/>
      <c r="AW184" s="20"/>
      <c r="AX184" s="20"/>
      <c r="AY184" s="20"/>
      <c r="AZ184" s="20"/>
    </row>
    <row r="185" ht="12.0" customHeight="1">
      <c r="A185" s="112"/>
      <c r="B185" s="112"/>
      <c r="C185" s="112"/>
      <c r="D185" s="112"/>
      <c r="E185" s="112"/>
      <c r="F185" s="112"/>
      <c r="G185" s="112"/>
      <c r="H185" s="112"/>
      <c r="I185" s="126"/>
      <c r="J185" s="112"/>
      <c r="K185" s="112"/>
      <c r="L185" s="112"/>
      <c r="M185" s="112"/>
      <c r="N185" s="112"/>
      <c r="O185" s="112"/>
      <c r="P185" s="112"/>
      <c r="Q185" s="112"/>
      <c r="R185" s="112"/>
      <c r="S185" s="112"/>
      <c r="T185" s="112"/>
      <c r="U185" s="112"/>
      <c r="V185" s="112"/>
      <c r="W185" s="112"/>
      <c r="X185" s="112"/>
      <c r="Y185" s="112"/>
      <c r="Z185" s="112"/>
      <c r="AA185" s="112"/>
      <c r="AB185" s="112"/>
      <c r="AC185" s="112"/>
      <c r="AD185" s="112"/>
      <c r="AE185" s="112"/>
      <c r="AF185" s="112"/>
      <c r="AG185" s="112"/>
      <c r="AH185" s="112"/>
      <c r="AI185" s="112"/>
      <c r="AJ185" s="112"/>
      <c r="AK185" s="112"/>
      <c r="AL185" s="112"/>
      <c r="AM185" s="112"/>
      <c r="AN185" s="112"/>
      <c r="AO185" s="112"/>
      <c r="AP185" s="112"/>
      <c r="AQ185" s="112"/>
      <c r="AS185" s="20"/>
      <c r="AT185" s="20"/>
      <c r="AU185" s="20"/>
      <c r="AV185" s="20"/>
      <c r="AW185" s="20"/>
      <c r="AX185" s="20"/>
      <c r="AY185" s="20"/>
      <c r="AZ185" s="20"/>
    </row>
    <row r="186" ht="12.0" customHeight="1">
      <c r="A186" s="112"/>
      <c r="B186" s="112"/>
      <c r="C186" s="112"/>
      <c r="D186" s="112"/>
      <c r="E186" s="112"/>
      <c r="F186" s="112"/>
      <c r="G186" s="112"/>
      <c r="H186" s="112"/>
      <c r="I186" s="126"/>
      <c r="J186" s="112"/>
      <c r="K186" s="112"/>
      <c r="L186" s="112"/>
      <c r="M186" s="112"/>
      <c r="N186" s="112"/>
      <c r="O186" s="112"/>
      <c r="P186" s="112"/>
      <c r="Q186" s="112"/>
      <c r="R186" s="112"/>
      <c r="S186" s="112"/>
      <c r="T186" s="112"/>
      <c r="U186" s="112"/>
      <c r="V186" s="112"/>
      <c r="W186" s="112"/>
      <c r="X186" s="112"/>
      <c r="Y186" s="112"/>
      <c r="Z186" s="112"/>
      <c r="AA186" s="112"/>
      <c r="AB186" s="112"/>
      <c r="AC186" s="112"/>
      <c r="AD186" s="112"/>
      <c r="AE186" s="112"/>
      <c r="AF186" s="112"/>
      <c r="AG186" s="112"/>
      <c r="AH186" s="112"/>
      <c r="AI186" s="112"/>
      <c r="AJ186" s="112"/>
      <c r="AK186" s="112"/>
      <c r="AL186" s="112"/>
      <c r="AM186" s="112"/>
      <c r="AN186" s="112"/>
      <c r="AO186" s="112"/>
      <c r="AP186" s="112"/>
      <c r="AQ186" s="112"/>
      <c r="AS186" s="20"/>
      <c r="AT186" s="20"/>
      <c r="AU186" s="20"/>
      <c r="AV186" s="20"/>
      <c r="AW186" s="20"/>
      <c r="AX186" s="20"/>
      <c r="AY186" s="20"/>
      <c r="AZ186" s="20"/>
    </row>
    <row r="187" ht="12.0" customHeight="1">
      <c r="A187" s="112"/>
      <c r="B187" s="112"/>
      <c r="C187" s="112"/>
      <c r="D187" s="112"/>
      <c r="E187" s="112"/>
      <c r="F187" s="112"/>
      <c r="G187" s="112"/>
      <c r="H187" s="112"/>
      <c r="I187" s="126"/>
      <c r="J187" s="112"/>
      <c r="K187" s="112"/>
      <c r="L187" s="112"/>
      <c r="M187" s="112"/>
      <c r="N187" s="112"/>
      <c r="O187" s="112"/>
      <c r="P187" s="112"/>
      <c r="Q187" s="112"/>
      <c r="R187" s="112"/>
      <c r="S187" s="112"/>
      <c r="T187" s="112"/>
      <c r="U187" s="112"/>
      <c r="V187" s="112"/>
      <c r="W187" s="112"/>
      <c r="X187" s="112"/>
      <c r="Y187" s="112"/>
      <c r="Z187" s="112"/>
      <c r="AA187" s="112"/>
      <c r="AB187" s="112"/>
      <c r="AC187" s="112"/>
      <c r="AD187" s="112"/>
      <c r="AE187" s="112"/>
      <c r="AF187" s="112"/>
      <c r="AG187" s="112"/>
      <c r="AH187" s="112"/>
      <c r="AI187" s="112"/>
      <c r="AJ187" s="112"/>
      <c r="AK187" s="112"/>
      <c r="AL187" s="112"/>
      <c r="AM187" s="112"/>
      <c r="AN187" s="112"/>
      <c r="AO187" s="112"/>
      <c r="AP187" s="112"/>
      <c r="AQ187" s="112"/>
      <c r="AS187" s="20"/>
      <c r="AT187" s="20"/>
      <c r="AU187" s="20"/>
      <c r="AV187" s="20"/>
      <c r="AW187" s="20"/>
      <c r="AX187" s="20"/>
      <c r="AY187" s="20"/>
      <c r="AZ187" s="20"/>
    </row>
    <row r="188" ht="12.0" customHeight="1">
      <c r="A188" s="112"/>
      <c r="B188" s="112"/>
      <c r="C188" s="112"/>
      <c r="D188" s="112"/>
      <c r="E188" s="112"/>
      <c r="F188" s="112"/>
      <c r="G188" s="112"/>
      <c r="H188" s="112"/>
      <c r="I188" s="126"/>
      <c r="J188" s="112"/>
      <c r="K188" s="112"/>
      <c r="L188" s="112"/>
      <c r="M188" s="112"/>
      <c r="N188" s="112"/>
      <c r="O188" s="112"/>
      <c r="P188" s="112"/>
      <c r="Q188" s="112"/>
      <c r="R188" s="112"/>
      <c r="S188" s="112"/>
      <c r="T188" s="112"/>
      <c r="U188" s="112"/>
      <c r="V188" s="112"/>
      <c r="W188" s="112"/>
      <c r="X188" s="112"/>
      <c r="Y188" s="112"/>
      <c r="Z188" s="112"/>
      <c r="AA188" s="112"/>
      <c r="AB188" s="112"/>
      <c r="AC188" s="112"/>
      <c r="AD188" s="112"/>
      <c r="AE188" s="112"/>
      <c r="AF188" s="112"/>
      <c r="AG188" s="112"/>
      <c r="AH188" s="112"/>
      <c r="AI188" s="112"/>
      <c r="AJ188" s="112"/>
      <c r="AK188" s="112"/>
      <c r="AL188" s="112"/>
      <c r="AM188" s="112"/>
      <c r="AN188" s="112"/>
      <c r="AO188" s="112"/>
      <c r="AP188" s="112"/>
      <c r="AQ188" s="112"/>
      <c r="AS188" s="20"/>
      <c r="AT188" s="20"/>
      <c r="AU188" s="20"/>
      <c r="AV188" s="20"/>
      <c r="AW188" s="20"/>
      <c r="AX188" s="20"/>
      <c r="AY188" s="20"/>
      <c r="AZ188" s="20"/>
    </row>
    <row r="189" ht="12.0" customHeight="1">
      <c r="A189" s="112"/>
      <c r="B189" s="112"/>
      <c r="C189" s="112"/>
      <c r="D189" s="112"/>
      <c r="E189" s="112"/>
      <c r="F189" s="112"/>
      <c r="G189" s="112"/>
      <c r="H189" s="112"/>
      <c r="I189" s="126"/>
      <c r="J189" s="112"/>
      <c r="K189" s="112"/>
      <c r="L189" s="112"/>
      <c r="M189" s="112"/>
      <c r="N189" s="112"/>
      <c r="O189" s="112"/>
      <c r="P189" s="112"/>
      <c r="Q189" s="112"/>
      <c r="R189" s="112"/>
      <c r="S189" s="112"/>
      <c r="T189" s="112"/>
      <c r="U189" s="112"/>
      <c r="V189" s="112"/>
      <c r="W189" s="112"/>
      <c r="X189" s="112"/>
      <c r="Y189" s="112"/>
      <c r="Z189" s="112"/>
      <c r="AA189" s="112"/>
      <c r="AB189" s="112"/>
      <c r="AC189" s="112"/>
      <c r="AD189" s="112"/>
      <c r="AE189" s="112"/>
      <c r="AF189" s="112"/>
      <c r="AG189" s="112"/>
      <c r="AH189" s="112"/>
      <c r="AI189" s="112"/>
      <c r="AJ189" s="112"/>
      <c r="AK189" s="112"/>
      <c r="AL189" s="112"/>
      <c r="AM189" s="112"/>
      <c r="AN189" s="112"/>
      <c r="AO189" s="112"/>
      <c r="AP189" s="112"/>
      <c r="AQ189" s="112"/>
      <c r="AS189" s="20"/>
      <c r="AT189" s="20"/>
      <c r="AU189" s="20"/>
      <c r="AV189" s="20"/>
      <c r="AW189" s="20"/>
      <c r="AX189" s="20"/>
      <c r="AY189" s="20"/>
      <c r="AZ189" s="20"/>
    </row>
    <row r="190" ht="12.0" customHeight="1">
      <c r="A190" s="112"/>
      <c r="B190" s="112"/>
      <c r="C190" s="112"/>
      <c r="D190" s="112"/>
      <c r="E190" s="112"/>
      <c r="F190" s="112"/>
      <c r="G190" s="112"/>
      <c r="H190" s="112"/>
      <c r="I190" s="126"/>
      <c r="J190" s="112"/>
      <c r="K190" s="112"/>
      <c r="L190" s="112"/>
      <c r="M190" s="112"/>
      <c r="N190" s="112"/>
      <c r="O190" s="112"/>
      <c r="P190" s="112"/>
      <c r="Q190" s="112"/>
      <c r="R190" s="112"/>
      <c r="S190" s="112"/>
      <c r="T190" s="112"/>
      <c r="U190" s="112"/>
      <c r="V190" s="112"/>
      <c r="W190" s="112"/>
      <c r="X190" s="112"/>
      <c r="Y190" s="112"/>
      <c r="Z190" s="112"/>
      <c r="AA190" s="112"/>
      <c r="AB190" s="112"/>
      <c r="AC190" s="112"/>
      <c r="AD190" s="112"/>
      <c r="AE190" s="112"/>
      <c r="AF190" s="112"/>
      <c r="AG190" s="112"/>
      <c r="AH190" s="112"/>
      <c r="AI190" s="112"/>
      <c r="AJ190" s="112"/>
      <c r="AK190" s="112"/>
      <c r="AL190" s="112"/>
      <c r="AM190" s="112"/>
      <c r="AN190" s="112"/>
      <c r="AO190" s="112"/>
      <c r="AP190" s="112"/>
      <c r="AQ190" s="112"/>
      <c r="AS190" s="20"/>
      <c r="AT190" s="20"/>
      <c r="AU190" s="20"/>
      <c r="AV190" s="20"/>
      <c r="AW190" s="20"/>
      <c r="AX190" s="20"/>
      <c r="AY190" s="20"/>
      <c r="AZ190" s="20"/>
    </row>
    <row r="191" ht="12.0" customHeight="1">
      <c r="A191" s="112"/>
      <c r="B191" s="112"/>
      <c r="C191" s="112"/>
      <c r="D191" s="112"/>
      <c r="E191" s="112"/>
      <c r="F191" s="112"/>
      <c r="G191" s="112"/>
      <c r="H191" s="112"/>
      <c r="I191" s="126"/>
      <c r="J191" s="112"/>
      <c r="K191" s="112"/>
      <c r="L191" s="112"/>
      <c r="M191" s="112"/>
      <c r="N191" s="112"/>
      <c r="O191" s="112"/>
      <c r="P191" s="112"/>
      <c r="Q191" s="112"/>
      <c r="R191" s="112"/>
      <c r="S191" s="112"/>
      <c r="T191" s="112"/>
      <c r="U191" s="112"/>
      <c r="V191" s="112"/>
      <c r="W191" s="112"/>
      <c r="X191" s="112"/>
      <c r="Y191" s="112"/>
      <c r="Z191" s="112"/>
      <c r="AA191" s="112"/>
      <c r="AB191" s="112"/>
      <c r="AC191" s="112"/>
      <c r="AD191" s="112"/>
      <c r="AE191" s="112"/>
      <c r="AF191" s="112"/>
      <c r="AG191" s="112"/>
      <c r="AH191" s="112"/>
      <c r="AI191" s="112"/>
      <c r="AJ191" s="112"/>
      <c r="AK191" s="112"/>
      <c r="AL191" s="112"/>
      <c r="AM191" s="112"/>
      <c r="AN191" s="112"/>
      <c r="AO191" s="112"/>
      <c r="AP191" s="112"/>
      <c r="AQ191" s="112"/>
      <c r="AS191" s="20"/>
      <c r="AT191" s="20"/>
      <c r="AU191" s="20"/>
      <c r="AV191" s="20"/>
      <c r="AW191" s="20"/>
      <c r="AX191" s="20"/>
      <c r="AY191" s="20"/>
      <c r="AZ191" s="20"/>
    </row>
    <row r="192" ht="12.0" customHeight="1">
      <c r="A192" s="112"/>
      <c r="B192" s="112"/>
      <c r="C192" s="112"/>
      <c r="D192" s="112"/>
      <c r="E192" s="112"/>
      <c r="F192" s="112"/>
      <c r="G192" s="112"/>
      <c r="H192" s="112"/>
      <c r="I192" s="126"/>
      <c r="J192" s="112"/>
      <c r="K192" s="112"/>
      <c r="L192" s="112"/>
      <c r="M192" s="112"/>
      <c r="N192" s="112"/>
      <c r="O192" s="112"/>
      <c r="P192" s="112"/>
      <c r="Q192" s="112"/>
      <c r="R192" s="112"/>
      <c r="S192" s="112"/>
      <c r="T192" s="112"/>
      <c r="U192" s="112"/>
      <c r="V192" s="112"/>
      <c r="W192" s="112"/>
      <c r="X192" s="112"/>
      <c r="Y192" s="112"/>
      <c r="Z192" s="112"/>
      <c r="AA192" s="112"/>
      <c r="AB192" s="112"/>
      <c r="AC192" s="112"/>
      <c r="AD192" s="112"/>
      <c r="AE192" s="112"/>
      <c r="AF192" s="112"/>
      <c r="AG192" s="112"/>
      <c r="AH192" s="112"/>
      <c r="AI192" s="112"/>
      <c r="AJ192" s="112"/>
      <c r="AK192" s="112"/>
      <c r="AL192" s="112"/>
      <c r="AM192" s="112"/>
      <c r="AN192" s="112"/>
      <c r="AO192" s="112"/>
      <c r="AP192" s="112"/>
      <c r="AQ192" s="112"/>
      <c r="AS192" s="20"/>
      <c r="AT192" s="20"/>
      <c r="AU192" s="20"/>
      <c r="AV192" s="20"/>
      <c r="AW192" s="20"/>
      <c r="AX192" s="20"/>
      <c r="AY192" s="20"/>
      <c r="AZ192" s="20"/>
    </row>
    <row r="193" ht="12.0" customHeight="1">
      <c r="A193" s="112"/>
      <c r="B193" s="112"/>
      <c r="C193" s="112"/>
      <c r="D193" s="112"/>
      <c r="E193" s="112"/>
      <c r="F193" s="112"/>
      <c r="G193" s="112"/>
      <c r="H193" s="112"/>
      <c r="I193" s="126"/>
      <c r="J193" s="112"/>
      <c r="K193" s="112"/>
      <c r="L193" s="112"/>
      <c r="M193" s="112"/>
      <c r="N193" s="112"/>
      <c r="O193" s="112"/>
      <c r="P193" s="112"/>
      <c r="Q193" s="112"/>
      <c r="R193" s="112"/>
      <c r="S193" s="112"/>
      <c r="T193" s="112"/>
      <c r="U193" s="112"/>
      <c r="V193" s="112"/>
      <c r="W193" s="112"/>
      <c r="X193" s="112"/>
      <c r="Y193" s="112"/>
      <c r="Z193" s="112"/>
      <c r="AA193" s="112"/>
      <c r="AB193" s="112"/>
      <c r="AC193" s="112"/>
      <c r="AD193" s="112"/>
      <c r="AE193" s="112"/>
      <c r="AF193" s="112"/>
      <c r="AG193" s="112"/>
      <c r="AH193" s="112"/>
      <c r="AI193" s="112"/>
      <c r="AJ193" s="112"/>
      <c r="AK193" s="112"/>
      <c r="AL193" s="112"/>
      <c r="AM193" s="112"/>
      <c r="AN193" s="112"/>
      <c r="AO193" s="112"/>
      <c r="AP193" s="112"/>
      <c r="AQ193" s="112"/>
      <c r="AS193" s="20"/>
      <c r="AT193" s="20"/>
      <c r="AU193" s="20"/>
      <c r="AV193" s="20"/>
      <c r="AW193" s="20"/>
      <c r="AX193" s="20"/>
      <c r="AY193" s="20"/>
      <c r="AZ193" s="20"/>
    </row>
    <row r="194" ht="12.0" customHeight="1">
      <c r="A194" s="112"/>
      <c r="B194" s="112"/>
      <c r="C194" s="112"/>
      <c r="D194" s="112"/>
      <c r="E194" s="112"/>
      <c r="F194" s="112"/>
      <c r="G194" s="112"/>
      <c r="H194" s="112"/>
      <c r="I194" s="126"/>
      <c r="J194" s="112"/>
      <c r="K194" s="112"/>
      <c r="L194" s="112"/>
      <c r="M194" s="112"/>
      <c r="N194" s="112"/>
      <c r="O194" s="112"/>
      <c r="P194" s="112"/>
      <c r="Q194" s="112"/>
      <c r="R194" s="112"/>
      <c r="S194" s="112"/>
      <c r="T194" s="112"/>
      <c r="U194" s="112"/>
      <c r="V194" s="112"/>
      <c r="W194" s="112"/>
      <c r="X194" s="112"/>
      <c r="Y194" s="112"/>
      <c r="Z194" s="112"/>
      <c r="AA194" s="112"/>
      <c r="AB194" s="112"/>
      <c r="AC194" s="112"/>
      <c r="AD194" s="112"/>
      <c r="AE194" s="112"/>
      <c r="AF194" s="112"/>
      <c r="AG194" s="112"/>
      <c r="AH194" s="112"/>
      <c r="AI194" s="112"/>
      <c r="AJ194" s="112"/>
      <c r="AK194" s="112"/>
      <c r="AL194" s="112"/>
      <c r="AM194" s="112"/>
      <c r="AN194" s="112"/>
      <c r="AO194" s="112"/>
      <c r="AP194" s="112"/>
      <c r="AQ194" s="112"/>
      <c r="AS194" s="20"/>
      <c r="AT194" s="20"/>
      <c r="AU194" s="20"/>
      <c r="AV194" s="20"/>
      <c r="AW194" s="20"/>
      <c r="AX194" s="20"/>
      <c r="AY194" s="20"/>
      <c r="AZ194" s="20"/>
    </row>
    <row r="195" ht="12.0" customHeight="1">
      <c r="A195" s="112"/>
      <c r="B195" s="112"/>
      <c r="C195" s="112"/>
      <c r="D195" s="112"/>
      <c r="E195" s="112"/>
      <c r="F195" s="112"/>
      <c r="G195" s="112"/>
      <c r="H195" s="112"/>
      <c r="I195" s="126"/>
      <c r="J195" s="112"/>
      <c r="K195" s="112"/>
      <c r="L195" s="112"/>
      <c r="M195" s="112"/>
      <c r="N195" s="112"/>
      <c r="O195" s="112"/>
      <c r="P195" s="112"/>
      <c r="Q195" s="112"/>
      <c r="R195" s="112"/>
      <c r="S195" s="112"/>
      <c r="T195" s="112"/>
      <c r="U195" s="112"/>
      <c r="V195" s="112"/>
      <c r="W195" s="112"/>
      <c r="X195" s="112"/>
      <c r="Y195" s="112"/>
      <c r="Z195" s="112"/>
      <c r="AA195" s="112"/>
      <c r="AB195" s="112"/>
      <c r="AC195" s="112"/>
      <c r="AD195" s="112"/>
      <c r="AE195" s="112"/>
      <c r="AF195" s="112"/>
      <c r="AG195" s="112"/>
      <c r="AH195" s="112"/>
      <c r="AI195" s="112"/>
      <c r="AJ195" s="112"/>
      <c r="AK195" s="112"/>
      <c r="AL195" s="112"/>
      <c r="AM195" s="112"/>
      <c r="AN195" s="112"/>
      <c r="AO195" s="112"/>
      <c r="AP195" s="112"/>
      <c r="AQ195" s="112"/>
      <c r="AS195" s="20"/>
      <c r="AT195" s="20"/>
      <c r="AU195" s="20"/>
      <c r="AV195" s="20"/>
      <c r="AW195" s="20"/>
      <c r="AX195" s="20"/>
      <c r="AY195" s="20"/>
      <c r="AZ195" s="20"/>
    </row>
    <row r="196" ht="12.0" customHeight="1">
      <c r="A196" s="112"/>
      <c r="B196" s="112"/>
      <c r="C196" s="112"/>
      <c r="D196" s="112"/>
      <c r="E196" s="112"/>
      <c r="F196" s="112"/>
      <c r="G196" s="112"/>
      <c r="H196" s="112"/>
      <c r="I196" s="126"/>
      <c r="J196" s="112"/>
      <c r="K196" s="112"/>
      <c r="L196" s="112"/>
      <c r="M196" s="112"/>
      <c r="N196" s="112"/>
      <c r="O196" s="112"/>
      <c r="P196" s="112"/>
      <c r="Q196" s="112"/>
      <c r="R196" s="112"/>
      <c r="S196" s="112"/>
      <c r="T196" s="112"/>
      <c r="U196" s="112"/>
      <c r="V196" s="112"/>
      <c r="W196" s="112"/>
      <c r="X196" s="112"/>
      <c r="Y196" s="112"/>
      <c r="Z196" s="112"/>
      <c r="AA196" s="112"/>
      <c r="AB196" s="112"/>
      <c r="AC196" s="112"/>
      <c r="AD196" s="112"/>
      <c r="AE196" s="112"/>
      <c r="AF196" s="112"/>
      <c r="AG196" s="112"/>
      <c r="AH196" s="112"/>
      <c r="AI196" s="112"/>
      <c r="AJ196" s="112"/>
      <c r="AK196" s="112"/>
      <c r="AL196" s="112"/>
      <c r="AM196" s="112"/>
      <c r="AN196" s="112"/>
      <c r="AO196" s="112"/>
      <c r="AP196" s="112"/>
      <c r="AQ196" s="112"/>
      <c r="AS196" s="20"/>
      <c r="AT196" s="20"/>
      <c r="AU196" s="20"/>
      <c r="AV196" s="20"/>
      <c r="AW196" s="20"/>
      <c r="AX196" s="20"/>
      <c r="AY196" s="20"/>
      <c r="AZ196" s="20"/>
    </row>
    <row r="197" ht="12.0" customHeight="1">
      <c r="A197" s="112"/>
      <c r="B197" s="112"/>
      <c r="C197" s="112"/>
      <c r="D197" s="112"/>
      <c r="E197" s="112"/>
      <c r="F197" s="112"/>
      <c r="G197" s="112"/>
      <c r="H197" s="112"/>
      <c r="I197" s="126"/>
      <c r="J197" s="112"/>
      <c r="K197" s="112"/>
      <c r="L197" s="112"/>
      <c r="M197" s="112"/>
      <c r="N197" s="112"/>
      <c r="O197" s="112"/>
      <c r="P197" s="112"/>
      <c r="Q197" s="112"/>
      <c r="R197" s="112"/>
      <c r="S197" s="112"/>
      <c r="T197" s="112"/>
      <c r="U197" s="112"/>
      <c r="V197" s="112"/>
      <c r="W197" s="112"/>
      <c r="X197" s="112"/>
      <c r="Y197" s="112"/>
      <c r="Z197" s="112"/>
      <c r="AA197" s="112"/>
      <c r="AB197" s="112"/>
      <c r="AC197" s="112"/>
      <c r="AD197" s="112"/>
      <c r="AE197" s="112"/>
      <c r="AF197" s="112"/>
      <c r="AG197" s="112"/>
      <c r="AH197" s="112"/>
      <c r="AI197" s="112"/>
      <c r="AJ197" s="112"/>
      <c r="AK197" s="112"/>
      <c r="AL197" s="112"/>
      <c r="AM197" s="112"/>
      <c r="AN197" s="112"/>
      <c r="AO197" s="112"/>
      <c r="AP197" s="112"/>
      <c r="AQ197" s="112"/>
      <c r="AS197" s="20"/>
      <c r="AT197" s="20"/>
      <c r="AU197" s="20"/>
      <c r="AV197" s="20"/>
      <c r="AW197" s="20"/>
      <c r="AX197" s="20"/>
      <c r="AY197" s="20"/>
      <c r="AZ197" s="20"/>
    </row>
    <row r="198" ht="12.0" customHeight="1">
      <c r="A198" s="112"/>
      <c r="B198" s="112"/>
      <c r="C198" s="112"/>
      <c r="D198" s="112"/>
      <c r="E198" s="112"/>
      <c r="F198" s="112"/>
      <c r="G198" s="112"/>
      <c r="H198" s="112"/>
      <c r="I198" s="126"/>
      <c r="J198" s="112"/>
      <c r="K198" s="112"/>
      <c r="L198" s="112"/>
      <c r="M198" s="112"/>
      <c r="N198" s="112"/>
      <c r="O198" s="112"/>
      <c r="P198" s="112"/>
      <c r="Q198" s="112"/>
      <c r="R198" s="112"/>
      <c r="S198" s="112"/>
      <c r="T198" s="112"/>
      <c r="U198" s="112"/>
      <c r="V198" s="112"/>
      <c r="W198" s="112"/>
      <c r="X198" s="112"/>
      <c r="Y198" s="112"/>
      <c r="Z198" s="112"/>
      <c r="AA198" s="112"/>
      <c r="AB198" s="112"/>
      <c r="AC198" s="112"/>
      <c r="AD198" s="112"/>
      <c r="AE198" s="112"/>
      <c r="AF198" s="112"/>
      <c r="AG198" s="112"/>
      <c r="AH198" s="112"/>
      <c r="AI198" s="112"/>
      <c r="AJ198" s="112"/>
      <c r="AK198" s="112"/>
      <c r="AL198" s="112"/>
      <c r="AM198" s="112"/>
      <c r="AN198" s="112"/>
      <c r="AO198" s="112"/>
      <c r="AP198" s="112"/>
      <c r="AQ198" s="112"/>
      <c r="AS198" s="20"/>
      <c r="AT198" s="20"/>
      <c r="AU198" s="20"/>
      <c r="AV198" s="20"/>
      <c r="AW198" s="20"/>
      <c r="AX198" s="20"/>
      <c r="AY198" s="20"/>
      <c r="AZ198" s="20"/>
    </row>
    <row r="199" ht="12.0" customHeight="1">
      <c r="A199" s="112"/>
      <c r="B199" s="112"/>
      <c r="C199" s="112"/>
      <c r="D199" s="112"/>
      <c r="E199" s="112"/>
      <c r="F199" s="112"/>
      <c r="G199" s="112"/>
      <c r="H199" s="112"/>
      <c r="I199" s="126"/>
      <c r="J199" s="112"/>
      <c r="K199" s="112"/>
      <c r="L199" s="112"/>
      <c r="M199" s="112"/>
      <c r="N199" s="112"/>
      <c r="O199" s="112"/>
      <c r="P199" s="112"/>
      <c r="Q199" s="112"/>
      <c r="R199" s="112"/>
      <c r="S199" s="112"/>
      <c r="T199" s="112"/>
      <c r="U199" s="112"/>
      <c r="V199" s="112"/>
      <c r="W199" s="112"/>
      <c r="X199" s="112"/>
      <c r="Y199" s="112"/>
      <c r="Z199" s="112"/>
      <c r="AA199" s="112"/>
      <c r="AB199" s="112"/>
      <c r="AC199" s="112"/>
      <c r="AD199" s="112"/>
      <c r="AE199" s="112"/>
      <c r="AF199" s="112"/>
      <c r="AG199" s="112"/>
      <c r="AH199" s="112"/>
      <c r="AI199" s="112"/>
      <c r="AJ199" s="112"/>
      <c r="AK199" s="112"/>
      <c r="AL199" s="112"/>
      <c r="AM199" s="112"/>
      <c r="AN199" s="112"/>
      <c r="AO199" s="112"/>
      <c r="AP199" s="112"/>
      <c r="AQ199" s="112"/>
      <c r="AS199" s="20"/>
      <c r="AT199" s="20"/>
      <c r="AU199" s="20"/>
      <c r="AV199" s="20"/>
      <c r="AW199" s="20"/>
      <c r="AX199" s="20"/>
      <c r="AY199" s="20"/>
      <c r="AZ199" s="20"/>
    </row>
    <row r="200" ht="12.0" customHeight="1">
      <c r="A200" s="112"/>
      <c r="B200" s="112"/>
      <c r="C200" s="112"/>
      <c r="D200" s="112"/>
      <c r="E200" s="112"/>
      <c r="F200" s="112"/>
      <c r="G200" s="112"/>
      <c r="H200" s="112"/>
      <c r="I200" s="126"/>
      <c r="J200" s="112"/>
      <c r="K200" s="112"/>
      <c r="L200" s="112"/>
      <c r="M200" s="112"/>
      <c r="N200" s="112"/>
      <c r="O200" s="112"/>
      <c r="P200" s="112"/>
      <c r="Q200" s="112"/>
      <c r="R200" s="112"/>
      <c r="S200" s="112"/>
      <c r="T200" s="112"/>
      <c r="U200" s="112"/>
      <c r="V200" s="112"/>
      <c r="W200" s="112"/>
      <c r="X200" s="112"/>
      <c r="Y200" s="112"/>
      <c r="Z200" s="112"/>
      <c r="AA200" s="112"/>
      <c r="AB200" s="112"/>
      <c r="AC200" s="112"/>
      <c r="AD200" s="112"/>
      <c r="AE200" s="112"/>
      <c r="AF200" s="112"/>
      <c r="AG200" s="112"/>
      <c r="AH200" s="112"/>
      <c r="AI200" s="112"/>
      <c r="AJ200" s="112"/>
      <c r="AK200" s="112"/>
      <c r="AL200" s="112"/>
      <c r="AM200" s="112"/>
      <c r="AN200" s="112"/>
      <c r="AO200" s="112"/>
      <c r="AP200" s="112"/>
      <c r="AQ200" s="112"/>
      <c r="AS200" s="20"/>
      <c r="AT200" s="20"/>
      <c r="AU200" s="20"/>
      <c r="AV200" s="20"/>
      <c r="AW200" s="20"/>
      <c r="AX200" s="20"/>
      <c r="AY200" s="20"/>
      <c r="AZ200" s="20"/>
    </row>
    <row r="201" ht="12.0" customHeight="1">
      <c r="A201" s="112"/>
      <c r="B201" s="112"/>
      <c r="C201" s="112"/>
      <c r="D201" s="112"/>
      <c r="E201" s="112"/>
      <c r="F201" s="112"/>
      <c r="G201" s="112"/>
      <c r="H201" s="112"/>
      <c r="I201" s="126"/>
      <c r="J201" s="112"/>
      <c r="K201" s="112"/>
      <c r="L201" s="112"/>
      <c r="M201" s="112"/>
      <c r="N201" s="112"/>
      <c r="O201" s="112"/>
      <c r="P201" s="112"/>
      <c r="Q201" s="112"/>
      <c r="R201" s="112"/>
      <c r="S201" s="112"/>
      <c r="T201" s="112"/>
      <c r="U201" s="112"/>
      <c r="V201" s="112"/>
      <c r="W201" s="112"/>
      <c r="X201" s="112"/>
      <c r="Y201" s="112"/>
      <c r="Z201" s="112"/>
      <c r="AA201" s="112"/>
      <c r="AB201" s="112"/>
      <c r="AC201" s="112"/>
      <c r="AD201" s="112"/>
      <c r="AE201" s="112"/>
      <c r="AF201" s="112"/>
      <c r="AG201" s="112"/>
      <c r="AH201" s="112"/>
      <c r="AI201" s="112"/>
      <c r="AJ201" s="112"/>
      <c r="AK201" s="112"/>
      <c r="AL201" s="112"/>
      <c r="AM201" s="112"/>
      <c r="AN201" s="112"/>
      <c r="AO201" s="112"/>
      <c r="AP201" s="112"/>
      <c r="AQ201" s="112"/>
      <c r="AS201" s="20"/>
      <c r="AT201" s="20"/>
      <c r="AU201" s="20"/>
      <c r="AV201" s="20"/>
      <c r="AW201" s="20"/>
      <c r="AX201" s="20"/>
      <c r="AY201" s="20"/>
      <c r="AZ201" s="20"/>
    </row>
    <row r="202" ht="12.0" customHeight="1">
      <c r="A202" s="112"/>
      <c r="B202" s="112"/>
      <c r="C202" s="112"/>
      <c r="D202" s="112"/>
      <c r="E202" s="112"/>
      <c r="F202" s="112"/>
      <c r="G202" s="112"/>
      <c r="H202" s="112"/>
      <c r="I202" s="126"/>
      <c r="J202" s="112"/>
      <c r="K202" s="112"/>
      <c r="L202" s="112"/>
      <c r="M202" s="112"/>
      <c r="N202" s="112"/>
      <c r="O202" s="112"/>
      <c r="P202" s="112"/>
      <c r="Q202" s="112"/>
      <c r="R202" s="112"/>
      <c r="S202" s="112"/>
      <c r="T202" s="112"/>
      <c r="U202" s="112"/>
      <c r="V202" s="112"/>
      <c r="W202" s="112"/>
      <c r="X202" s="112"/>
      <c r="Y202" s="112"/>
      <c r="Z202" s="112"/>
      <c r="AA202" s="112"/>
      <c r="AB202" s="112"/>
      <c r="AC202" s="112"/>
      <c r="AD202" s="112"/>
      <c r="AE202" s="112"/>
      <c r="AF202" s="112"/>
      <c r="AG202" s="112"/>
      <c r="AH202" s="112"/>
      <c r="AI202" s="112"/>
      <c r="AJ202" s="112"/>
      <c r="AK202" s="112"/>
      <c r="AL202" s="112"/>
      <c r="AM202" s="112"/>
      <c r="AN202" s="112"/>
      <c r="AO202" s="112"/>
      <c r="AP202" s="112"/>
      <c r="AQ202" s="112"/>
      <c r="AS202" s="20"/>
      <c r="AT202" s="20"/>
      <c r="AU202" s="20"/>
      <c r="AV202" s="20"/>
      <c r="AW202" s="20"/>
      <c r="AX202" s="20"/>
      <c r="AY202" s="20"/>
      <c r="AZ202" s="20"/>
    </row>
    <row r="203" ht="12.0" customHeight="1">
      <c r="A203" s="112"/>
      <c r="B203" s="112"/>
      <c r="C203" s="112"/>
      <c r="D203" s="112"/>
      <c r="E203" s="112"/>
      <c r="F203" s="112"/>
      <c r="G203" s="112"/>
      <c r="H203" s="112"/>
      <c r="I203" s="126"/>
      <c r="J203" s="112"/>
      <c r="K203" s="112"/>
      <c r="L203" s="112"/>
      <c r="M203" s="112"/>
      <c r="N203" s="112"/>
      <c r="O203" s="112"/>
      <c r="P203" s="112"/>
      <c r="Q203" s="112"/>
      <c r="R203" s="112"/>
      <c r="S203" s="112"/>
      <c r="T203" s="112"/>
      <c r="U203" s="112"/>
      <c r="V203" s="112"/>
      <c r="W203" s="112"/>
      <c r="X203" s="112"/>
      <c r="Y203" s="112"/>
      <c r="Z203" s="112"/>
      <c r="AA203" s="112"/>
      <c r="AB203" s="112"/>
      <c r="AC203" s="112"/>
      <c r="AD203" s="112"/>
      <c r="AE203" s="112"/>
      <c r="AF203" s="112"/>
      <c r="AG203" s="112"/>
      <c r="AH203" s="112"/>
      <c r="AI203" s="112"/>
      <c r="AJ203" s="112"/>
      <c r="AK203" s="112"/>
      <c r="AL203" s="112"/>
      <c r="AM203" s="112"/>
      <c r="AN203" s="112"/>
      <c r="AO203" s="112"/>
      <c r="AP203" s="112"/>
      <c r="AQ203" s="112"/>
      <c r="AS203" s="20"/>
      <c r="AT203" s="20"/>
      <c r="AU203" s="20"/>
      <c r="AV203" s="20"/>
      <c r="AW203" s="20"/>
      <c r="AX203" s="20"/>
      <c r="AY203" s="20"/>
      <c r="AZ203" s="20"/>
    </row>
    <row r="204" ht="12.0" customHeight="1">
      <c r="A204" s="112"/>
      <c r="B204" s="112"/>
      <c r="C204" s="112"/>
      <c r="D204" s="112"/>
      <c r="E204" s="112"/>
      <c r="F204" s="112"/>
      <c r="G204" s="112"/>
      <c r="H204" s="112"/>
      <c r="I204" s="126"/>
      <c r="J204" s="112"/>
      <c r="K204" s="112"/>
      <c r="L204" s="112"/>
      <c r="M204" s="112"/>
      <c r="N204" s="112"/>
      <c r="O204" s="112"/>
      <c r="P204" s="112"/>
      <c r="Q204" s="112"/>
      <c r="R204" s="112"/>
      <c r="S204" s="112"/>
      <c r="T204" s="112"/>
      <c r="U204" s="112"/>
      <c r="V204" s="112"/>
      <c r="W204" s="112"/>
      <c r="X204" s="112"/>
      <c r="Y204" s="112"/>
      <c r="Z204" s="112"/>
      <c r="AA204" s="112"/>
      <c r="AB204" s="112"/>
      <c r="AC204" s="112"/>
      <c r="AD204" s="112"/>
      <c r="AE204" s="112"/>
      <c r="AF204" s="112"/>
      <c r="AG204" s="112"/>
      <c r="AH204" s="112"/>
      <c r="AI204" s="112"/>
      <c r="AJ204" s="112"/>
      <c r="AK204" s="112"/>
      <c r="AL204" s="112"/>
      <c r="AM204" s="112"/>
      <c r="AN204" s="112"/>
      <c r="AO204" s="112"/>
      <c r="AP204" s="112"/>
      <c r="AQ204" s="112"/>
      <c r="AS204" s="20"/>
      <c r="AT204" s="20"/>
      <c r="AU204" s="20"/>
      <c r="AV204" s="20"/>
      <c r="AW204" s="20"/>
      <c r="AX204" s="20"/>
      <c r="AY204" s="20"/>
      <c r="AZ204" s="20"/>
    </row>
    <row r="205" ht="12.0" customHeight="1">
      <c r="A205" s="112"/>
      <c r="B205" s="112"/>
      <c r="C205" s="112"/>
      <c r="D205" s="112"/>
      <c r="E205" s="112"/>
      <c r="F205" s="112"/>
      <c r="G205" s="112"/>
      <c r="H205" s="112"/>
      <c r="I205" s="126"/>
      <c r="J205" s="112"/>
      <c r="K205" s="112"/>
      <c r="L205" s="112"/>
      <c r="M205" s="112"/>
      <c r="N205" s="112"/>
      <c r="O205" s="112"/>
      <c r="P205" s="112"/>
      <c r="Q205" s="112"/>
      <c r="R205" s="112"/>
      <c r="S205" s="112"/>
      <c r="T205" s="112"/>
      <c r="U205" s="112"/>
      <c r="V205" s="112"/>
      <c r="W205" s="112"/>
      <c r="X205" s="112"/>
      <c r="Y205" s="112"/>
      <c r="Z205" s="112"/>
      <c r="AA205" s="112"/>
      <c r="AB205" s="112"/>
      <c r="AC205" s="112"/>
      <c r="AD205" s="112"/>
      <c r="AE205" s="112"/>
      <c r="AF205" s="112"/>
      <c r="AG205" s="112"/>
      <c r="AH205" s="112"/>
      <c r="AI205" s="112"/>
      <c r="AJ205" s="112"/>
      <c r="AK205" s="112"/>
      <c r="AL205" s="112"/>
      <c r="AM205" s="112"/>
      <c r="AN205" s="112"/>
      <c r="AO205" s="112"/>
      <c r="AP205" s="112"/>
      <c r="AQ205" s="112"/>
      <c r="AS205" s="20"/>
      <c r="AT205" s="20"/>
      <c r="AU205" s="20"/>
      <c r="AV205" s="20"/>
      <c r="AW205" s="20"/>
      <c r="AX205" s="20"/>
      <c r="AY205" s="20"/>
      <c r="AZ205" s="20"/>
    </row>
    <row r="206" ht="12.0" customHeight="1">
      <c r="A206" s="112"/>
      <c r="B206" s="112"/>
      <c r="C206" s="112"/>
      <c r="D206" s="112"/>
      <c r="E206" s="112"/>
      <c r="F206" s="112"/>
      <c r="G206" s="112"/>
      <c r="H206" s="112"/>
      <c r="I206" s="126"/>
      <c r="J206" s="112"/>
      <c r="K206" s="112"/>
      <c r="L206" s="112"/>
      <c r="M206" s="112"/>
      <c r="N206" s="112"/>
      <c r="O206" s="112"/>
      <c r="P206" s="112"/>
      <c r="Q206" s="112"/>
      <c r="R206" s="112"/>
      <c r="S206" s="112"/>
      <c r="T206" s="112"/>
      <c r="U206" s="112"/>
      <c r="V206" s="112"/>
      <c r="W206" s="112"/>
      <c r="X206" s="112"/>
      <c r="Y206" s="112"/>
      <c r="Z206" s="112"/>
      <c r="AA206" s="112"/>
      <c r="AB206" s="112"/>
      <c r="AC206" s="112"/>
      <c r="AD206" s="112"/>
      <c r="AE206" s="112"/>
      <c r="AF206" s="112"/>
      <c r="AG206" s="112"/>
      <c r="AH206" s="112"/>
      <c r="AI206" s="112"/>
      <c r="AJ206" s="112"/>
      <c r="AK206" s="112"/>
      <c r="AL206" s="112"/>
      <c r="AM206" s="112"/>
      <c r="AN206" s="112"/>
      <c r="AO206" s="112"/>
      <c r="AP206" s="112"/>
      <c r="AQ206" s="112"/>
      <c r="AS206" s="20"/>
      <c r="AT206" s="20"/>
      <c r="AU206" s="20"/>
      <c r="AV206" s="20"/>
      <c r="AW206" s="20"/>
      <c r="AX206" s="20"/>
      <c r="AY206" s="20"/>
      <c r="AZ206" s="20"/>
    </row>
    <row r="207" ht="12.0" customHeight="1">
      <c r="A207" s="112"/>
      <c r="B207" s="112"/>
      <c r="C207" s="112"/>
      <c r="D207" s="112"/>
      <c r="E207" s="112"/>
      <c r="F207" s="112"/>
      <c r="G207" s="112"/>
      <c r="H207" s="112"/>
      <c r="I207" s="126"/>
      <c r="J207" s="112"/>
      <c r="K207" s="112"/>
      <c r="L207" s="112"/>
      <c r="M207" s="112"/>
      <c r="N207" s="112"/>
      <c r="O207" s="112"/>
      <c r="P207" s="112"/>
      <c r="Q207" s="112"/>
      <c r="R207" s="112"/>
      <c r="S207" s="112"/>
      <c r="T207" s="112"/>
      <c r="U207" s="112"/>
      <c r="V207" s="112"/>
      <c r="W207" s="112"/>
      <c r="X207" s="112"/>
      <c r="Y207" s="112"/>
      <c r="Z207" s="112"/>
      <c r="AA207" s="112"/>
      <c r="AB207" s="112"/>
      <c r="AC207" s="112"/>
      <c r="AD207" s="112"/>
      <c r="AE207" s="112"/>
      <c r="AF207" s="112"/>
      <c r="AG207" s="112"/>
      <c r="AH207" s="112"/>
      <c r="AI207" s="112"/>
      <c r="AJ207" s="112"/>
      <c r="AK207" s="112"/>
      <c r="AL207" s="112"/>
      <c r="AM207" s="112"/>
      <c r="AN207" s="112"/>
      <c r="AO207" s="112"/>
      <c r="AP207" s="112"/>
      <c r="AQ207" s="112"/>
      <c r="AS207" s="20"/>
      <c r="AT207" s="20"/>
      <c r="AU207" s="20"/>
      <c r="AV207" s="20"/>
      <c r="AW207" s="20"/>
      <c r="AX207" s="20"/>
      <c r="AY207" s="20"/>
      <c r="AZ207" s="20"/>
    </row>
    <row r="208" ht="12.0" customHeight="1">
      <c r="A208" s="112"/>
      <c r="B208" s="112"/>
      <c r="C208" s="112"/>
      <c r="D208" s="112"/>
      <c r="E208" s="112"/>
      <c r="F208" s="112"/>
      <c r="G208" s="112"/>
      <c r="H208" s="112"/>
      <c r="I208" s="126"/>
      <c r="J208" s="112"/>
      <c r="K208" s="112"/>
      <c r="L208" s="112"/>
      <c r="M208" s="112"/>
      <c r="N208" s="112"/>
      <c r="O208" s="112"/>
      <c r="P208" s="112"/>
      <c r="Q208" s="112"/>
      <c r="R208" s="112"/>
      <c r="S208" s="112"/>
      <c r="T208" s="112"/>
      <c r="U208" s="112"/>
      <c r="V208" s="112"/>
      <c r="W208" s="112"/>
      <c r="X208" s="112"/>
      <c r="Y208" s="112"/>
      <c r="Z208" s="112"/>
      <c r="AA208" s="112"/>
      <c r="AB208" s="112"/>
      <c r="AC208" s="112"/>
      <c r="AD208" s="112"/>
      <c r="AE208" s="112"/>
      <c r="AF208" s="112"/>
      <c r="AG208" s="112"/>
      <c r="AH208" s="112"/>
      <c r="AI208" s="112"/>
      <c r="AJ208" s="112"/>
      <c r="AK208" s="112"/>
      <c r="AL208" s="112"/>
      <c r="AM208" s="112"/>
      <c r="AN208" s="112"/>
      <c r="AO208" s="112"/>
      <c r="AP208" s="112"/>
      <c r="AQ208" s="112"/>
      <c r="AS208" s="20"/>
      <c r="AT208" s="20"/>
      <c r="AU208" s="20"/>
      <c r="AV208" s="20"/>
      <c r="AW208" s="20"/>
      <c r="AX208" s="20"/>
      <c r="AY208" s="20"/>
      <c r="AZ208" s="20"/>
    </row>
    <row r="209" ht="12.0" customHeight="1">
      <c r="A209" s="112"/>
      <c r="B209" s="112"/>
      <c r="C209" s="112"/>
      <c r="D209" s="112"/>
      <c r="E209" s="112"/>
      <c r="F209" s="112"/>
      <c r="G209" s="112"/>
      <c r="H209" s="112"/>
      <c r="I209" s="126"/>
      <c r="J209" s="112"/>
      <c r="K209" s="112"/>
      <c r="L209" s="112"/>
      <c r="M209" s="112"/>
      <c r="N209" s="112"/>
      <c r="O209" s="112"/>
      <c r="P209" s="112"/>
      <c r="Q209" s="112"/>
      <c r="R209" s="112"/>
      <c r="S209" s="112"/>
      <c r="T209" s="112"/>
      <c r="U209" s="112"/>
      <c r="V209" s="112"/>
      <c r="W209" s="112"/>
      <c r="X209" s="112"/>
      <c r="Y209" s="112"/>
      <c r="Z209" s="112"/>
      <c r="AA209" s="112"/>
      <c r="AB209" s="112"/>
      <c r="AC209" s="112"/>
      <c r="AD209" s="112"/>
      <c r="AE209" s="112"/>
      <c r="AF209" s="112"/>
      <c r="AG209" s="112"/>
      <c r="AH209" s="112"/>
      <c r="AI209" s="112"/>
      <c r="AJ209" s="112"/>
      <c r="AK209" s="112"/>
      <c r="AL209" s="112"/>
      <c r="AM209" s="112"/>
      <c r="AN209" s="112"/>
      <c r="AO209" s="112"/>
      <c r="AP209" s="112"/>
      <c r="AQ209" s="112"/>
      <c r="AS209" s="20"/>
      <c r="AT209" s="20"/>
      <c r="AU209" s="20"/>
      <c r="AV209" s="20"/>
      <c r="AW209" s="20"/>
      <c r="AX209" s="20"/>
      <c r="AY209" s="20"/>
      <c r="AZ209" s="20"/>
    </row>
    <row r="210" ht="12.0" customHeight="1">
      <c r="A210" s="112"/>
      <c r="B210" s="112"/>
      <c r="C210" s="112"/>
      <c r="D210" s="112"/>
      <c r="E210" s="112"/>
      <c r="F210" s="112"/>
      <c r="G210" s="112"/>
      <c r="H210" s="112"/>
      <c r="I210" s="126"/>
      <c r="J210" s="112"/>
      <c r="K210" s="112"/>
      <c r="L210" s="112"/>
      <c r="M210" s="112"/>
      <c r="N210" s="112"/>
      <c r="O210" s="112"/>
      <c r="P210" s="112"/>
      <c r="Q210" s="112"/>
      <c r="R210" s="112"/>
      <c r="S210" s="112"/>
      <c r="T210" s="112"/>
      <c r="U210" s="112"/>
      <c r="V210" s="112"/>
      <c r="W210" s="112"/>
      <c r="X210" s="112"/>
      <c r="Y210" s="112"/>
      <c r="Z210" s="112"/>
      <c r="AA210" s="112"/>
      <c r="AB210" s="112"/>
      <c r="AC210" s="112"/>
      <c r="AD210" s="112"/>
      <c r="AE210" s="112"/>
      <c r="AF210" s="112"/>
      <c r="AG210" s="112"/>
      <c r="AH210" s="112"/>
      <c r="AI210" s="112"/>
      <c r="AJ210" s="112"/>
      <c r="AK210" s="112"/>
      <c r="AL210" s="112"/>
      <c r="AM210" s="112"/>
      <c r="AN210" s="112"/>
      <c r="AO210" s="112"/>
      <c r="AP210" s="112"/>
      <c r="AQ210" s="112"/>
      <c r="AS210" s="20"/>
      <c r="AT210" s="20"/>
      <c r="AU210" s="20"/>
      <c r="AV210" s="20"/>
      <c r="AW210" s="20"/>
      <c r="AX210" s="20"/>
      <c r="AY210" s="20"/>
      <c r="AZ210" s="20"/>
    </row>
    <row r="211" ht="12.0" customHeight="1">
      <c r="A211" s="112"/>
      <c r="B211" s="112"/>
      <c r="C211" s="112"/>
      <c r="D211" s="112"/>
      <c r="E211" s="112"/>
      <c r="F211" s="112"/>
      <c r="G211" s="112"/>
      <c r="H211" s="112"/>
      <c r="I211" s="126"/>
      <c r="J211" s="112"/>
      <c r="K211" s="112"/>
      <c r="L211" s="112"/>
      <c r="M211" s="112"/>
      <c r="N211" s="112"/>
      <c r="O211" s="112"/>
      <c r="P211" s="112"/>
      <c r="Q211" s="112"/>
      <c r="R211" s="112"/>
      <c r="S211" s="112"/>
      <c r="T211" s="112"/>
      <c r="U211" s="112"/>
      <c r="V211" s="112"/>
      <c r="W211" s="112"/>
      <c r="X211" s="112"/>
      <c r="Y211" s="112"/>
      <c r="Z211" s="112"/>
      <c r="AA211" s="112"/>
      <c r="AB211" s="112"/>
      <c r="AC211" s="112"/>
      <c r="AD211" s="112"/>
      <c r="AE211" s="112"/>
      <c r="AF211" s="112"/>
      <c r="AG211" s="112"/>
      <c r="AH211" s="112"/>
      <c r="AI211" s="112"/>
      <c r="AJ211" s="112"/>
      <c r="AK211" s="112"/>
      <c r="AL211" s="112"/>
      <c r="AM211" s="112"/>
      <c r="AN211" s="112"/>
      <c r="AO211" s="112"/>
      <c r="AP211" s="112"/>
      <c r="AQ211" s="112"/>
      <c r="AS211" s="20"/>
      <c r="AT211" s="20"/>
      <c r="AU211" s="20"/>
      <c r="AV211" s="20"/>
      <c r="AW211" s="20"/>
      <c r="AX211" s="20"/>
      <c r="AY211" s="20"/>
      <c r="AZ211" s="20"/>
    </row>
    <row r="212" ht="12.0" customHeight="1">
      <c r="A212" s="112"/>
      <c r="B212" s="112"/>
      <c r="C212" s="112"/>
      <c r="D212" s="112"/>
      <c r="E212" s="112"/>
      <c r="F212" s="112"/>
      <c r="G212" s="112"/>
      <c r="H212" s="112"/>
      <c r="I212" s="126"/>
      <c r="J212" s="112"/>
      <c r="K212" s="112"/>
      <c r="L212" s="112"/>
      <c r="M212" s="112"/>
      <c r="N212" s="112"/>
      <c r="O212" s="112"/>
      <c r="P212" s="112"/>
      <c r="Q212" s="112"/>
      <c r="R212" s="112"/>
      <c r="S212" s="112"/>
      <c r="T212" s="112"/>
      <c r="U212" s="112"/>
      <c r="V212" s="112"/>
      <c r="W212" s="112"/>
      <c r="X212" s="112"/>
      <c r="Y212" s="112"/>
      <c r="Z212" s="112"/>
      <c r="AA212" s="112"/>
      <c r="AB212" s="112"/>
      <c r="AC212" s="112"/>
      <c r="AD212" s="112"/>
      <c r="AE212" s="112"/>
      <c r="AF212" s="112"/>
      <c r="AG212" s="112"/>
      <c r="AH212" s="112"/>
      <c r="AI212" s="112"/>
      <c r="AJ212" s="112"/>
      <c r="AK212" s="112"/>
      <c r="AL212" s="112"/>
      <c r="AM212" s="112"/>
      <c r="AN212" s="112"/>
      <c r="AO212" s="112"/>
      <c r="AP212" s="112"/>
      <c r="AQ212" s="112"/>
      <c r="AS212" s="20"/>
      <c r="AT212" s="20"/>
      <c r="AU212" s="20"/>
      <c r="AV212" s="20"/>
      <c r="AW212" s="20"/>
      <c r="AX212" s="20"/>
      <c r="AY212" s="20"/>
      <c r="AZ212" s="20"/>
    </row>
    <row r="213" ht="12.0" customHeight="1">
      <c r="A213" s="112"/>
      <c r="B213" s="112"/>
      <c r="C213" s="112"/>
      <c r="D213" s="112"/>
      <c r="E213" s="112"/>
      <c r="F213" s="112"/>
      <c r="G213" s="112"/>
      <c r="H213" s="112"/>
      <c r="I213" s="126"/>
      <c r="J213" s="112"/>
      <c r="K213" s="112"/>
      <c r="L213" s="112"/>
      <c r="M213" s="112"/>
      <c r="N213" s="112"/>
      <c r="O213" s="112"/>
      <c r="P213" s="112"/>
      <c r="Q213" s="112"/>
      <c r="R213" s="112"/>
      <c r="S213" s="112"/>
      <c r="T213" s="112"/>
      <c r="U213" s="112"/>
      <c r="V213" s="112"/>
      <c r="W213" s="112"/>
      <c r="X213" s="112"/>
      <c r="Y213" s="112"/>
      <c r="Z213" s="112"/>
      <c r="AA213" s="112"/>
      <c r="AB213" s="112"/>
      <c r="AC213" s="112"/>
      <c r="AD213" s="112"/>
      <c r="AE213" s="112"/>
      <c r="AF213" s="112"/>
      <c r="AG213" s="112"/>
      <c r="AH213" s="112"/>
      <c r="AI213" s="112"/>
      <c r="AJ213" s="112"/>
      <c r="AK213" s="112"/>
      <c r="AL213" s="112"/>
      <c r="AM213" s="112"/>
      <c r="AN213" s="112"/>
      <c r="AO213" s="112"/>
      <c r="AP213" s="112"/>
      <c r="AQ213" s="112"/>
      <c r="AS213" s="20"/>
      <c r="AT213" s="20"/>
      <c r="AU213" s="20"/>
      <c r="AV213" s="20"/>
      <c r="AW213" s="20"/>
      <c r="AX213" s="20"/>
      <c r="AY213" s="20"/>
      <c r="AZ213" s="20"/>
    </row>
    <row r="214" ht="12.0" customHeight="1">
      <c r="A214" s="112"/>
      <c r="B214" s="112"/>
      <c r="C214" s="112"/>
      <c r="D214" s="112"/>
      <c r="E214" s="112"/>
      <c r="F214" s="112"/>
      <c r="G214" s="112"/>
      <c r="H214" s="112"/>
      <c r="I214" s="126"/>
      <c r="J214" s="112"/>
      <c r="K214" s="112"/>
      <c r="L214" s="112"/>
      <c r="M214" s="112"/>
      <c r="N214" s="112"/>
      <c r="O214" s="112"/>
      <c r="P214" s="112"/>
      <c r="Q214" s="112"/>
      <c r="R214" s="112"/>
      <c r="S214" s="112"/>
      <c r="T214" s="112"/>
      <c r="U214" s="112"/>
      <c r="V214" s="112"/>
      <c r="W214" s="112"/>
      <c r="X214" s="112"/>
      <c r="Y214" s="112"/>
      <c r="Z214" s="112"/>
      <c r="AA214" s="112"/>
      <c r="AB214" s="112"/>
      <c r="AC214" s="112"/>
      <c r="AD214" s="112"/>
      <c r="AE214" s="112"/>
      <c r="AF214" s="112"/>
      <c r="AG214" s="112"/>
      <c r="AH214" s="112"/>
      <c r="AI214" s="112"/>
      <c r="AJ214" s="112"/>
      <c r="AK214" s="112"/>
      <c r="AL214" s="112"/>
      <c r="AM214" s="112"/>
      <c r="AN214" s="112"/>
      <c r="AO214" s="112"/>
      <c r="AP214" s="112"/>
      <c r="AQ214" s="112"/>
      <c r="AS214" s="20"/>
      <c r="AT214" s="20"/>
      <c r="AU214" s="20"/>
      <c r="AV214" s="20"/>
      <c r="AW214" s="20"/>
      <c r="AX214" s="20"/>
      <c r="AY214" s="20"/>
      <c r="AZ214" s="20"/>
    </row>
    <row r="215" ht="12.0" customHeight="1">
      <c r="A215" s="112"/>
      <c r="B215" s="112"/>
      <c r="C215" s="112"/>
      <c r="D215" s="112"/>
      <c r="E215" s="112"/>
      <c r="F215" s="112"/>
      <c r="G215" s="112"/>
      <c r="H215" s="112"/>
      <c r="I215" s="126"/>
      <c r="J215" s="112"/>
      <c r="K215" s="112"/>
      <c r="L215" s="112"/>
      <c r="M215" s="112"/>
      <c r="N215" s="112"/>
      <c r="O215" s="112"/>
      <c r="P215" s="112"/>
      <c r="Q215" s="112"/>
      <c r="R215" s="112"/>
      <c r="S215" s="112"/>
      <c r="T215" s="112"/>
      <c r="U215" s="112"/>
      <c r="V215" s="112"/>
      <c r="W215" s="112"/>
      <c r="X215" s="112"/>
      <c r="Y215" s="112"/>
      <c r="Z215" s="112"/>
      <c r="AA215" s="112"/>
      <c r="AB215" s="112"/>
      <c r="AC215" s="112"/>
      <c r="AD215" s="112"/>
      <c r="AE215" s="112"/>
      <c r="AF215" s="112"/>
      <c r="AG215" s="112"/>
      <c r="AH215" s="112"/>
      <c r="AI215" s="112"/>
      <c r="AJ215" s="112"/>
      <c r="AK215" s="112"/>
      <c r="AL215" s="112"/>
      <c r="AM215" s="112"/>
      <c r="AN215" s="112"/>
      <c r="AO215" s="112"/>
      <c r="AP215" s="112"/>
      <c r="AQ215" s="112"/>
      <c r="AS215" s="20"/>
      <c r="AT215" s="20"/>
      <c r="AU215" s="20"/>
      <c r="AV215" s="20"/>
      <c r="AW215" s="20"/>
      <c r="AX215" s="20"/>
      <c r="AY215" s="20"/>
      <c r="AZ215" s="20"/>
    </row>
    <row r="216" ht="12.0" customHeight="1">
      <c r="A216" s="112"/>
      <c r="B216" s="112"/>
      <c r="C216" s="112"/>
      <c r="D216" s="112"/>
      <c r="E216" s="112"/>
      <c r="F216" s="112"/>
      <c r="G216" s="112"/>
      <c r="H216" s="112"/>
      <c r="I216" s="126"/>
      <c r="J216" s="112"/>
      <c r="K216" s="112"/>
      <c r="L216" s="112"/>
      <c r="M216" s="112"/>
      <c r="N216" s="112"/>
      <c r="O216" s="112"/>
      <c r="P216" s="112"/>
      <c r="Q216" s="112"/>
      <c r="R216" s="112"/>
      <c r="S216" s="112"/>
      <c r="T216" s="112"/>
      <c r="U216" s="112"/>
      <c r="V216" s="112"/>
      <c r="W216" s="112"/>
      <c r="X216" s="112"/>
      <c r="Y216" s="112"/>
      <c r="Z216" s="112"/>
      <c r="AA216" s="112"/>
      <c r="AB216" s="112"/>
      <c r="AC216" s="112"/>
      <c r="AD216" s="112"/>
      <c r="AE216" s="112"/>
      <c r="AF216" s="112"/>
      <c r="AG216" s="112"/>
      <c r="AH216" s="112"/>
      <c r="AI216" s="112"/>
      <c r="AJ216" s="112"/>
      <c r="AK216" s="112"/>
      <c r="AL216" s="112"/>
      <c r="AM216" s="112"/>
      <c r="AN216" s="112"/>
      <c r="AO216" s="112"/>
      <c r="AP216" s="112"/>
      <c r="AQ216" s="112"/>
      <c r="AS216" s="20"/>
      <c r="AT216" s="20"/>
      <c r="AU216" s="20"/>
      <c r="AV216" s="20"/>
      <c r="AW216" s="20"/>
      <c r="AX216" s="20"/>
      <c r="AY216" s="20"/>
      <c r="AZ216" s="20"/>
    </row>
    <row r="217" ht="12.0" customHeight="1">
      <c r="A217" s="112"/>
      <c r="B217" s="112"/>
      <c r="C217" s="112"/>
      <c r="D217" s="112"/>
      <c r="E217" s="112"/>
      <c r="F217" s="112"/>
      <c r="G217" s="112"/>
      <c r="H217" s="112"/>
      <c r="I217" s="126"/>
      <c r="J217" s="112"/>
      <c r="K217" s="112"/>
      <c r="L217" s="112"/>
      <c r="M217" s="112"/>
      <c r="N217" s="112"/>
      <c r="O217" s="112"/>
      <c r="P217" s="112"/>
      <c r="Q217" s="112"/>
      <c r="R217" s="112"/>
      <c r="S217" s="112"/>
      <c r="T217" s="112"/>
      <c r="U217" s="112"/>
      <c r="V217" s="112"/>
      <c r="W217" s="112"/>
      <c r="X217" s="112"/>
      <c r="Y217" s="112"/>
      <c r="Z217" s="112"/>
      <c r="AA217" s="112"/>
      <c r="AB217" s="112"/>
      <c r="AC217" s="112"/>
      <c r="AD217" s="112"/>
      <c r="AE217" s="112"/>
      <c r="AF217" s="112"/>
      <c r="AG217" s="112"/>
      <c r="AH217" s="112"/>
      <c r="AI217" s="112"/>
      <c r="AJ217" s="112"/>
      <c r="AK217" s="112"/>
      <c r="AL217" s="112"/>
      <c r="AM217" s="112"/>
      <c r="AN217" s="112"/>
      <c r="AO217" s="112"/>
      <c r="AP217" s="112"/>
      <c r="AQ217" s="112"/>
      <c r="AS217" s="20"/>
      <c r="AT217" s="20"/>
      <c r="AU217" s="20"/>
      <c r="AV217" s="20"/>
      <c r="AW217" s="20"/>
      <c r="AX217" s="20"/>
      <c r="AY217" s="20"/>
      <c r="AZ217" s="20"/>
    </row>
    <row r="218" ht="12.0" customHeight="1">
      <c r="A218" s="112"/>
      <c r="B218" s="112"/>
      <c r="C218" s="112"/>
      <c r="D218" s="112"/>
      <c r="E218" s="112"/>
      <c r="F218" s="112"/>
      <c r="G218" s="112"/>
      <c r="H218" s="112"/>
      <c r="I218" s="126"/>
      <c r="J218" s="112"/>
      <c r="K218" s="112"/>
      <c r="L218" s="112"/>
      <c r="M218" s="112"/>
      <c r="N218" s="112"/>
      <c r="O218" s="112"/>
      <c r="P218" s="112"/>
      <c r="Q218" s="112"/>
      <c r="R218" s="112"/>
      <c r="S218" s="112"/>
      <c r="T218" s="112"/>
      <c r="U218" s="112"/>
      <c r="V218" s="112"/>
      <c r="W218" s="112"/>
      <c r="X218" s="112"/>
      <c r="Y218" s="112"/>
      <c r="Z218" s="112"/>
      <c r="AA218" s="112"/>
      <c r="AB218" s="112"/>
      <c r="AC218" s="112"/>
      <c r="AD218" s="112"/>
      <c r="AE218" s="112"/>
      <c r="AF218" s="112"/>
      <c r="AG218" s="112"/>
      <c r="AH218" s="112"/>
      <c r="AI218" s="112"/>
      <c r="AJ218" s="112"/>
      <c r="AK218" s="112"/>
      <c r="AL218" s="112"/>
      <c r="AM218" s="112"/>
      <c r="AN218" s="112"/>
      <c r="AO218" s="112"/>
      <c r="AP218" s="112"/>
      <c r="AQ218" s="112"/>
      <c r="AS218" s="20"/>
      <c r="AT218" s="20"/>
      <c r="AU218" s="20"/>
      <c r="AV218" s="20"/>
      <c r="AW218" s="20"/>
      <c r="AX218" s="20"/>
      <c r="AY218" s="20"/>
      <c r="AZ218" s="20"/>
    </row>
    <row r="219" ht="12.0" customHeight="1">
      <c r="A219" s="112"/>
      <c r="B219" s="112"/>
      <c r="C219" s="112"/>
      <c r="D219" s="112"/>
      <c r="E219" s="112"/>
      <c r="F219" s="112"/>
      <c r="G219" s="112"/>
      <c r="H219" s="112"/>
      <c r="I219" s="126"/>
      <c r="J219" s="112"/>
      <c r="K219" s="112"/>
      <c r="L219" s="112"/>
      <c r="M219" s="112"/>
      <c r="N219" s="112"/>
      <c r="O219" s="112"/>
      <c r="P219" s="112"/>
      <c r="Q219" s="112"/>
      <c r="R219" s="112"/>
      <c r="S219" s="112"/>
      <c r="T219" s="112"/>
      <c r="U219" s="112"/>
      <c r="V219" s="112"/>
      <c r="W219" s="112"/>
      <c r="X219" s="112"/>
      <c r="Y219" s="112"/>
      <c r="Z219" s="112"/>
      <c r="AA219" s="112"/>
      <c r="AB219" s="112"/>
      <c r="AC219" s="112"/>
      <c r="AD219" s="112"/>
      <c r="AE219" s="112"/>
      <c r="AF219" s="112"/>
      <c r="AG219" s="112"/>
      <c r="AH219" s="112"/>
      <c r="AI219" s="112"/>
      <c r="AJ219" s="112"/>
      <c r="AK219" s="112"/>
      <c r="AL219" s="112"/>
      <c r="AM219" s="112"/>
      <c r="AN219" s="112"/>
      <c r="AO219" s="112"/>
      <c r="AP219" s="112"/>
      <c r="AQ219" s="112"/>
      <c r="AS219" s="20"/>
      <c r="AT219" s="20"/>
      <c r="AU219" s="20"/>
      <c r="AV219" s="20"/>
      <c r="AW219" s="20"/>
      <c r="AX219" s="20"/>
      <c r="AY219" s="20"/>
      <c r="AZ219" s="20"/>
    </row>
    <row r="220" ht="12.0" customHeight="1">
      <c r="A220" s="112"/>
      <c r="B220" s="112"/>
      <c r="C220" s="112"/>
      <c r="D220" s="112"/>
      <c r="E220" s="112"/>
      <c r="F220" s="112"/>
      <c r="G220" s="112"/>
      <c r="H220" s="112"/>
      <c r="I220" s="126"/>
      <c r="J220" s="112"/>
      <c r="K220" s="112"/>
      <c r="L220" s="112"/>
      <c r="M220" s="112"/>
      <c r="N220" s="112"/>
      <c r="O220" s="112"/>
      <c r="P220" s="112"/>
      <c r="Q220" s="112"/>
      <c r="R220" s="112"/>
      <c r="S220" s="112"/>
      <c r="T220" s="112"/>
      <c r="U220" s="112"/>
      <c r="V220" s="112"/>
      <c r="W220" s="112"/>
      <c r="X220" s="112"/>
      <c r="Y220" s="112"/>
      <c r="Z220" s="112"/>
      <c r="AA220" s="112"/>
      <c r="AB220" s="112"/>
      <c r="AC220" s="112"/>
      <c r="AD220" s="112"/>
      <c r="AE220" s="112"/>
      <c r="AF220" s="112"/>
      <c r="AG220" s="112"/>
      <c r="AH220" s="112"/>
      <c r="AI220" s="112"/>
      <c r="AJ220" s="112"/>
      <c r="AK220" s="112"/>
      <c r="AL220" s="112"/>
      <c r="AM220" s="112"/>
      <c r="AN220" s="112"/>
      <c r="AO220" s="112"/>
      <c r="AP220" s="112"/>
      <c r="AQ220" s="112"/>
      <c r="AS220" s="20"/>
      <c r="AT220" s="20"/>
      <c r="AU220" s="20"/>
      <c r="AV220" s="20"/>
      <c r="AW220" s="20"/>
      <c r="AX220" s="20"/>
      <c r="AY220" s="20"/>
      <c r="AZ220" s="20"/>
    </row>
    <row r="221" ht="12.0" customHeight="1">
      <c r="A221" s="112"/>
      <c r="B221" s="112"/>
      <c r="C221" s="112"/>
      <c r="D221" s="112"/>
      <c r="E221" s="112"/>
      <c r="F221" s="112"/>
      <c r="G221" s="112"/>
      <c r="H221" s="112"/>
      <c r="I221" s="126"/>
      <c r="J221" s="112"/>
      <c r="K221" s="112"/>
      <c r="L221" s="112"/>
      <c r="M221" s="112"/>
      <c r="N221" s="112"/>
      <c r="O221" s="112"/>
      <c r="P221" s="112"/>
      <c r="Q221" s="112"/>
      <c r="R221" s="112"/>
      <c r="S221" s="112"/>
      <c r="T221" s="112"/>
      <c r="U221" s="112"/>
      <c r="V221" s="112"/>
      <c r="W221" s="112"/>
      <c r="X221" s="112"/>
      <c r="Y221" s="112"/>
      <c r="Z221" s="112"/>
      <c r="AA221" s="112"/>
      <c r="AB221" s="112"/>
      <c r="AC221" s="112"/>
      <c r="AD221" s="112"/>
      <c r="AE221" s="112"/>
      <c r="AF221" s="112"/>
      <c r="AG221" s="112"/>
      <c r="AH221" s="112"/>
      <c r="AI221" s="112"/>
      <c r="AJ221" s="112"/>
      <c r="AK221" s="112"/>
      <c r="AL221" s="112"/>
      <c r="AM221" s="112"/>
      <c r="AN221" s="112"/>
      <c r="AO221" s="112"/>
      <c r="AP221" s="112"/>
      <c r="AQ221" s="112"/>
      <c r="AS221" s="20"/>
      <c r="AT221" s="20"/>
      <c r="AU221" s="20"/>
      <c r="AV221" s="20"/>
      <c r="AW221" s="20"/>
      <c r="AX221" s="20"/>
      <c r="AY221" s="20"/>
      <c r="AZ221" s="20"/>
    </row>
    <row r="222" ht="12.0" customHeight="1">
      <c r="A222" s="112"/>
      <c r="B222" s="112"/>
      <c r="C222" s="112"/>
      <c r="D222" s="112"/>
      <c r="E222" s="112"/>
      <c r="F222" s="112"/>
      <c r="G222" s="112"/>
      <c r="H222" s="112"/>
      <c r="I222" s="126"/>
      <c r="J222" s="112"/>
      <c r="K222" s="112"/>
      <c r="L222" s="112"/>
      <c r="M222" s="112"/>
      <c r="N222" s="112"/>
      <c r="O222" s="112"/>
      <c r="P222" s="112"/>
      <c r="Q222" s="112"/>
      <c r="R222" s="112"/>
      <c r="S222" s="112"/>
      <c r="T222" s="112"/>
      <c r="U222" s="112"/>
      <c r="V222" s="112"/>
      <c r="W222" s="112"/>
      <c r="X222" s="112"/>
      <c r="Y222" s="112"/>
      <c r="Z222" s="112"/>
      <c r="AA222" s="112"/>
      <c r="AB222" s="112"/>
      <c r="AC222" s="112"/>
      <c r="AD222" s="112"/>
      <c r="AE222" s="112"/>
      <c r="AF222" s="112"/>
      <c r="AG222" s="112"/>
      <c r="AH222" s="112"/>
      <c r="AI222" s="112"/>
      <c r="AJ222" s="112"/>
      <c r="AK222" s="112"/>
      <c r="AL222" s="112"/>
      <c r="AM222" s="112"/>
      <c r="AN222" s="112"/>
      <c r="AO222" s="112"/>
      <c r="AP222" s="112"/>
      <c r="AQ222" s="112"/>
      <c r="AS222" s="20"/>
      <c r="AT222" s="20"/>
      <c r="AU222" s="20"/>
      <c r="AV222" s="20"/>
      <c r="AW222" s="20"/>
      <c r="AX222" s="20"/>
      <c r="AY222" s="20"/>
      <c r="AZ222" s="20"/>
    </row>
    <row r="223" ht="12.0" customHeight="1">
      <c r="A223" s="112"/>
      <c r="B223" s="112"/>
      <c r="C223" s="112"/>
      <c r="D223" s="112"/>
      <c r="E223" s="112"/>
      <c r="F223" s="112"/>
      <c r="G223" s="112"/>
      <c r="H223" s="112"/>
      <c r="I223" s="126"/>
      <c r="J223" s="112"/>
      <c r="K223" s="112"/>
      <c r="L223" s="112"/>
      <c r="M223" s="112"/>
      <c r="N223" s="112"/>
      <c r="O223" s="112"/>
      <c r="P223" s="112"/>
      <c r="Q223" s="112"/>
      <c r="R223" s="112"/>
      <c r="S223" s="112"/>
      <c r="T223" s="112"/>
      <c r="U223" s="112"/>
      <c r="V223" s="112"/>
      <c r="W223" s="112"/>
      <c r="X223" s="112"/>
      <c r="Y223" s="112"/>
      <c r="Z223" s="112"/>
      <c r="AA223" s="112"/>
      <c r="AB223" s="112"/>
      <c r="AC223" s="112"/>
      <c r="AD223" s="112"/>
      <c r="AE223" s="112"/>
      <c r="AF223" s="112"/>
      <c r="AG223" s="112"/>
      <c r="AH223" s="112"/>
      <c r="AI223" s="112"/>
      <c r="AJ223" s="112"/>
      <c r="AK223" s="112"/>
      <c r="AL223" s="112"/>
      <c r="AM223" s="112"/>
      <c r="AN223" s="112"/>
      <c r="AO223" s="112"/>
      <c r="AP223" s="112"/>
      <c r="AQ223" s="112"/>
      <c r="AS223" s="20"/>
      <c r="AT223" s="20"/>
      <c r="AU223" s="20"/>
      <c r="AV223" s="20"/>
      <c r="AW223" s="20"/>
      <c r="AX223" s="20"/>
      <c r="AY223" s="20"/>
      <c r="AZ223" s="20"/>
    </row>
    <row r="224" ht="12.0" customHeight="1">
      <c r="A224" s="112"/>
      <c r="B224" s="112"/>
      <c r="C224" s="112"/>
      <c r="D224" s="112"/>
      <c r="E224" s="112"/>
      <c r="F224" s="112"/>
      <c r="G224" s="112"/>
      <c r="H224" s="112"/>
      <c r="I224" s="126"/>
      <c r="J224" s="112"/>
      <c r="K224" s="112"/>
      <c r="L224" s="112"/>
      <c r="M224" s="112"/>
      <c r="N224" s="112"/>
      <c r="O224" s="112"/>
      <c r="P224" s="112"/>
      <c r="Q224" s="112"/>
      <c r="R224" s="112"/>
      <c r="S224" s="112"/>
      <c r="T224" s="112"/>
      <c r="U224" s="112"/>
      <c r="V224" s="112"/>
      <c r="W224" s="112"/>
      <c r="X224" s="112"/>
      <c r="Y224" s="112"/>
      <c r="Z224" s="112"/>
      <c r="AA224" s="112"/>
      <c r="AB224" s="112"/>
      <c r="AC224" s="112"/>
      <c r="AD224" s="112"/>
      <c r="AE224" s="112"/>
      <c r="AF224" s="112"/>
      <c r="AG224" s="112"/>
      <c r="AH224" s="112"/>
      <c r="AI224" s="112"/>
      <c r="AJ224" s="112"/>
      <c r="AK224" s="112"/>
      <c r="AL224" s="112"/>
      <c r="AM224" s="112"/>
      <c r="AN224" s="112"/>
      <c r="AO224" s="112"/>
      <c r="AP224" s="112"/>
      <c r="AQ224" s="112"/>
      <c r="AS224" s="20"/>
      <c r="AT224" s="20"/>
      <c r="AU224" s="20"/>
      <c r="AV224" s="20"/>
      <c r="AW224" s="20"/>
      <c r="AX224" s="20"/>
      <c r="AY224" s="20"/>
      <c r="AZ224" s="20"/>
    </row>
    <row r="225" ht="12.0" customHeight="1">
      <c r="A225" s="112"/>
      <c r="B225" s="112"/>
      <c r="C225" s="112"/>
      <c r="D225" s="112"/>
      <c r="E225" s="112"/>
      <c r="F225" s="112"/>
      <c r="G225" s="112"/>
      <c r="H225" s="112"/>
      <c r="I225" s="126"/>
      <c r="J225" s="112"/>
      <c r="K225" s="112"/>
      <c r="L225" s="112"/>
      <c r="M225" s="112"/>
      <c r="N225" s="112"/>
      <c r="O225" s="112"/>
      <c r="P225" s="112"/>
      <c r="Q225" s="112"/>
      <c r="R225" s="112"/>
      <c r="S225" s="112"/>
      <c r="T225" s="112"/>
      <c r="U225" s="112"/>
      <c r="V225" s="112"/>
      <c r="W225" s="112"/>
      <c r="X225" s="112"/>
      <c r="Y225" s="112"/>
      <c r="Z225" s="112"/>
      <c r="AA225" s="112"/>
      <c r="AB225" s="112"/>
      <c r="AC225" s="112"/>
      <c r="AD225" s="112"/>
      <c r="AE225" s="112"/>
      <c r="AF225" s="112"/>
      <c r="AG225" s="112"/>
      <c r="AH225" s="112"/>
      <c r="AI225" s="112"/>
      <c r="AJ225" s="112"/>
      <c r="AK225" s="112"/>
      <c r="AL225" s="112"/>
      <c r="AM225" s="112"/>
      <c r="AN225" s="112"/>
      <c r="AO225" s="112"/>
      <c r="AP225" s="112"/>
      <c r="AQ225" s="112"/>
      <c r="AS225" s="20"/>
      <c r="AT225" s="20"/>
      <c r="AU225" s="20"/>
      <c r="AV225" s="20"/>
      <c r="AW225" s="20"/>
      <c r="AX225" s="20"/>
      <c r="AY225" s="20"/>
      <c r="AZ225" s="20"/>
    </row>
    <row r="226" ht="12.0" customHeight="1">
      <c r="A226" s="112"/>
      <c r="B226" s="112"/>
      <c r="C226" s="112"/>
      <c r="D226" s="112"/>
      <c r="E226" s="112"/>
      <c r="F226" s="112"/>
      <c r="G226" s="112"/>
      <c r="H226" s="112"/>
      <c r="I226" s="126"/>
      <c r="J226" s="112"/>
      <c r="K226" s="112"/>
      <c r="L226" s="112"/>
      <c r="M226" s="112"/>
      <c r="N226" s="112"/>
      <c r="O226" s="112"/>
      <c r="P226" s="112"/>
      <c r="Q226" s="112"/>
      <c r="R226" s="112"/>
      <c r="S226" s="112"/>
      <c r="T226" s="112"/>
      <c r="U226" s="112"/>
      <c r="V226" s="112"/>
      <c r="W226" s="112"/>
      <c r="X226" s="112"/>
      <c r="Y226" s="112"/>
      <c r="Z226" s="112"/>
      <c r="AA226" s="112"/>
      <c r="AB226" s="112"/>
      <c r="AC226" s="112"/>
      <c r="AD226" s="112"/>
      <c r="AE226" s="112"/>
      <c r="AF226" s="112"/>
      <c r="AG226" s="112"/>
      <c r="AH226" s="112"/>
      <c r="AI226" s="112"/>
      <c r="AJ226" s="112"/>
      <c r="AK226" s="112"/>
      <c r="AL226" s="112"/>
      <c r="AM226" s="112"/>
      <c r="AN226" s="112"/>
      <c r="AO226" s="112"/>
      <c r="AP226" s="112"/>
      <c r="AQ226" s="112"/>
      <c r="AS226" s="20"/>
      <c r="AT226" s="20"/>
      <c r="AU226" s="20"/>
      <c r="AV226" s="20"/>
      <c r="AW226" s="20"/>
      <c r="AX226" s="20"/>
      <c r="AY226" s="20"/>
      <c r="AZ226" s="20"/>
    </row>
    <row r="227" ht="12.0" customHeight="1">
      <c r="A227" s="112"/>
      <c r="B227" s="112"/>
      <c r="C227" s="112"/>
      <c r="D227" s="112"/>
      <c r="E227" s="112"/>
      <c r="F227" s="112"/>
      <c r="G227" s="112"/>
      <c r="H227" s="112"/>
      <c r="I227" s="126"/>
      <c r="J227" s="112"/>
      <c r="K227" s="112"/>
      <c r="L227" s="112"/>
      <c r="M227" s="112"/>
      <c r="N227" s="112"/>
      <c r="O227" s="112"/>
      <c r="P227" s="112"/>
      <c r="Q227" s="112"/>
      <c r="R227" s="112"/>
      <c r="S227" s="112"/>
      <c r="T227" s="112"/>
      <c r="U227" s="112"/>
      <c r="V227" s="112"/>
      <c r="W227" s="112"/>
      <c r="X227" s="112"/>
      <c r="Y227" s="112"/>
      <c r="Z227" s="112"/>
      <c r="AA227" s="112"/>
      <c r="AB227" s="112"/>
      <c r="AC227" s="112"/>
      <c r="AD227" s="112"/>
      <c r="AE227" s="112"/>
      <c r="AF227" s="112"/>
      <c r="AG227" s="112"/>
      <c r="AH227" s="112"/>
      <c r="AI227" s="112"/>
      <c r="AJ227" s="112"/>
      <c r="AK227" s="112"/>
      <c r="AL227" s="112"/>
      <c r="AM227" s="112"/>
      <c r="AN227" s="112"/>
      <c r="AO227" s="112"/>
      <c r="AP227" s="112"/>
      <c r="AQ227" s="112"/>
      <c r="AS227" s="20"/>
      <c r="AT227" s="20"/>
      <c r="AU227" s="20"/>
      <c r="AV227" s="20"/>
      <c r="AW227" s="20"/>
      <c r="AX227" s="20"/>
      <c r="AY227" s="20"/>
      <c r="AZ227" s="20"/>
    </row>
    <row r="228" ht="12.0" customHeight="1">
      <c r="A228" s="112"/>
      <c r="B228" s="112"/>
      <c r="C228" s="112"/>
      <c r="D228" s="112"/>
      <c r="E228" s="112"/>
      <c r="F228" s="112"/>
      <c r="G228" s="112"/>
      <c r="H228" s="112"/>
      <c r="I228" s="126"/>
      <c r="J228" s="112"/>
      <c r="K228" s="112"/>
      <c r="L228" s="112"/>
      <c r="M228" s="112"/>
      <c r="N228" s="112"/>
      <c r="O228" s="112"/>
      <c r="P228" s="112"/>
      <c r="Q228" s="112"/>
      <c r="R228" s="112"/>
      <c r="S228" s="112"/>
      <c r="T228" s="112"/>
      <c r="U228" s="112"/>
      <c r="V228" s="112"/>
      <c r="W228" s="112"/>
      <c r="X228" s="112"/>
      <c r="Y228" s="112"/>
      <c r="Z228" s="112"/>
      <c r="AA228" s="112"/>
      <c r="AB228" s="112"/>
      <c r="AC228" s="112"/>
      <c r="AD228" s="112"/>
      <c r="AE228" s="112"/>
      <c r="AF228" s="112"/>
      <c r="AG228" s="112"/>
      <c r="AH228" s="112"/>
      <c r="AI228" s="112"/>
      <c r="AJ228" s="112"/>
      <c r="AK228" s="112"/>
      <c r="AL228" s="112"/>
      <c r="AM228" s="112"/>
      <c r="AN228" s="112"/>
      <c r="AO228" s="112"/>
      <c r="AP228" s="112"/>
      <c r="AQ228" s="112"/>
      <c r="AS228" s="20"/>
      <c r="AT228" s="20"/>
      <c r="AU228" s="20"/>
      <c r="AV228" s="20"/>
      <c r="AW228" s="20"/>
      <c r="AX228" s="20"/>
      <c r="AY228" s="20"/>
      <c r="AZ228" s="20"/>
    </row>
    <row r="229" ht="12.0" customHeight="1">
      <c r="A229" s="112"/>
      <c r="B229" s="112"/>
      <c r="C229" s="112"/>
      <c r="D229" s="112"/>
      <c r="E229" s="112"/>
      <c r="F229" s="112"/>
      <c r="G229" s="112"/>
      <c r="H229" s="112"/>
      <c r="I229" s="126"/>
      <c r="J229" s="112"/>
      <c r="K229" s="112"/>
      <c r="L229" s="112"/>
      <c r="M229" s="112"/>
      <c r="N229" s="112"/>
      <c r="O229" s="112"/>
      <c r="P229" s="112"/>
      <c r="Q229" s="112"/>
      <c r="R229" s="112"/>
      <c r="S229" s="112"/>
      <c r="T229" s="112"/>
      <c r="U229" s="112"/>
      <c r="V229" s="112"/>
      <c r="W229" s="112"/>
      <c r="X229" s="112"/>
      <c r="Y229" s="112"/>
      <c r="Z229" s="112"/>
      <c r="AA229" s="112"/>
      <c r="AB229" s="112"/>
      <c r="AC229" s="112"/>
      <c r="AD229" s="112"/>
      <c r="AE229" s="112"/>
      <c r="AF229" s="112"/>
      <c r="AG229" s="112"/>
      <c r="AH229" s="112"/>
      <c r="AI229" s="112"/>
      <c r="AJ229" s="112"/>
      <c r="AK229" s="112"/>
      <c r="AL229" s="112"/>
      <c r="AM229" s="112"/>
      <c r="AN229" s="112"/>
      <c r="AO229" s="112"/>
      <c r="AP229" s="112"/>
      <c r="AQ229" s="112"/>
      <c r="AS229" s="20"/>
      <c r="AT229" s="20"/>
      <c r="AU229" s="20"/>
      <c r="AV229" s="20"/>
      <c r="AW229" s="20"/>
      <c r="AX229" s="20"/>
      <c r="AY229" s="20"/>
      <c r="AZ229" s="20"/>
    </row>
    <row r="230" ht="12.0" customHeight="1">
      <c r="A230" s="112"/>
      <c r="B230" s="112"/>
      <c r="C230" s="112"/>
      <c r="D230" s="112"/>
      <c r="E230" s="112"/>
      <c r="F230" s="112"/>
      <c r="G230" s="112"/>
      <c r="H230" s="112"/>
      <c r="I230" s="126"/>
      <c r="J230" s="112"/>
      <c r="K230" s="112"/>
      <c r="L230" s="112"/>
      <c r="M230" s="112"/>
      <c r="N230" s="112"/>
      <c r="O230" s="112"/>
      <c r="P230" s="112"/>
      <c r="Q230" s="112"/>
      <c r="R230" s="112"/>
      <c r="S230" s="112"/>
      <c r="T230" s="112"/>
      <c r="U230" s="112"/>
      <c r="V230" s="112"/>
      <c r="W230" s="112"/>
      <c r="X230" s="112"/>
      <c r="Y230" s="112"/>
      <c r="Z230" s="112"/>
      <c r="AA230" s="112"/>
      <c r="AB230" s="112"/>
      <c r="AC230" s="112"/>
      <c r="AD230" s="112"/>
      <c r="AE230" s="112"/>
      <c r="AF230" s="112"/>
      <c r="AG230" s="112"/>
      <c r="AH230" s="112"/>
      <c r="AI230" s="112"/>
      <c r="AJ230" s="112"/>
      <c r="AK230" s="112"/>
      <c r="AL230" s="112"/>
      <c r="AM230" s="112"/>
      <c r="AN230" s="112"/>
      <c r="AO230" s="112"/>
      <c r="AP230" s="112"/>
      <c r="AQ230" s="112"/>
      <c r="AS230" s="20"/>
      <c r="AT230" s="20"/>
      <c r="AU230" s="20"/>
      <c r="AV230" s="20"/>
      <c r="AW230" s="20"/>
      <c r="AX230" s="20"/>
      <c r="AY230" s="20"/>
      <c r="AZ230" s="20"/>
    </row>
    <row r="231" ht="12.0" customHeight="1">
      <c r="A231" s="112"/>
      <c r="B231" s="112"/>
      <c r="C231" s="112"/>
      <c r="D231" s="112"/>
      <c r="E231" s="112"/>
      <c r="F231" s="112"/>
      <c r="G231" s="112"/>
      <c r="H231" s="112"/>
      <c r="I231" s="126"/>
      <c r="J231" s="112"/>
      <c r="K231" s="112"/>
      <c r="L231" s="112"/>
      <c r="M231" s="112"/>
      <c r="N231" s="112"/>
      <c r="O231" s="112"/>
      <c r="P231" s="112"/>
      <c r="Q231" s="112"/>
      <c r="R231" s="112"/>
      <c r="S231" s="112"/>
      <c r="T231" s="112"/>
      <c r="U231" s="112"/>
      <c r="V231" s="112"/>
      <c r="W231" s="112"/>
      <c r="X231" s="112"/>
      <c r="Y231" s="112"/>
      <c r="Z231" s="112"/>
      <c r="AA231" s="112"/>
      <c r="AB231" s="112"/>
      <c r="AC231" s="112"/>
      <c r="AD231" s="112"/>
      <c r="AE231" s="112"/>
      <c r="AF231" s="112"/>
      <c r="AG231" s="112"/>
      <c r="AH231" s="112"/>
      <c r="AI231" s="112"/>
      <c r="AJ231" s="112"/>
      <c r="AK231" s="112"/>
      <c r="AL231" s="112"/>
      <c r="AM231" s="112"/>
      <c r="AN231" s="112"/>
      <c r="AO231" s="112"/>
      <c r="AP231" s="112"/>
      <c r="AQ231" s="112"/>
      <c r="AS231" s="20"/>
      <c r="AT231" s="20"/>
      <c r="AU231" s="20"/>
      <c r="AV231" s="20"/>
      <c r="AW231" s="20"/>
      <c r="AX231" s="20"/>
      <c r="AY231" s="20"/>
      <c r="AZ231" s="20"/>
    </row>
    <row r="232" ht="12.0" customHeight="1">
      <c r="A232" s="112"/>
      <c r="B232" s="112"/>
      <c r="C232" s="112"/>
      <c r="D232" s="112"/>
      <c r="E232" s="112"/>
      <c r="F232" s="112"/>
      <c r="G232" s="112"/>
      <c r="H232" s="112"/>
      <c r="I232" s="126"/>
      <c r="J232" s="112"/>
      <c r="K232" s="112"/>
      <c r="L232" s="112"/>
      <c r="M232" s="112"/>
      <c r="N232" s="112"/>
      <c r="O232" s="112"/>
      <c r="P232" s="112"/>
      <c r="Q232" s="112"/>
      <c r="R232" s="112"/>
      <c r="S232" s="112"/>
      <c r="T232" s="112"/>
      <c r="U232" s="112"/>
      <c r="V232" s="112"/>
      <c r="W232" s="112"/>
      <c r="X232" s="112"/>
      <c r="Y232" s="112"/>
      <c r="Z232" s="112"/>
      <c r="AA232" s="112"/>
      <c r="AB232" s="112"/>
      <c r="AC232" s="112"/>
      <c r="AD232" s="112"/>
      <c r="AE232" s="112"/>
      <c r="AF232" s="112"/>
      <c r="AG232" s="112"/>
      <c r="AH232" s="112"/>
      <c r="AI232" s="112"/>
      <c r="AJ232" s="112"/>
      <c r="AK232" s="112"/>
      <c r="AL232" s="112"/>
      <c r="AM232" s="112"/>
      <c r="AN232" s="112"/>
      <c r="AO232" s="112"/>
      <c r="AP232" s="112"/>
      <c r="AQ232" s="112"/>
      <c r="AS232" s="20"/>
      <c r="AT232" s="20"/>
      <c r="AU232" s="20"/>
      <c r="AV232" s="20"/>
      <c r="AW232" s="20"/>
      <c r="AX232" s="20"/>
      <c r="AY232" s="20"/>
      <c r="AZ232" s="20"/>
    </row>
    <row r="233" ht="12.0" customHeight="1">
      <c r="A233" s="112"/>
      <c r="B233" s="112"/>
      <c r="C233" s="112"/>
      <c r="D233" s="112"/>
      <c r="E233" s="112"/>
      <c r="F233" s="112"/>
      <c r="G233" s="112"/>
      <c r="H233" s="112"/>
      <c r="I233" s="126"/>
      <c r="J233" s="112"/>
      <c r="K233" s="112"/>
      <c r="L233" s="112"/>
      <c r="M233" s="112"/>
      <c r="N233" s="112"/>
      <c r="O233" s="112"/>
      <c r="P233" s="112"/>
      <c r="Q233" s="112"/>
      <c r="R233" s="112"/>
      <c r="S233" s="112"/>
      <c r="T233" s="112"/>
      <c r="U233" s="112"/>
      <c r="V233" s="112"/>
      <c r="W233" s="112"/>
      <c r="X233" s="112"/>
      <c r="Y233" s="112"/>
      <c r="Z233" s="112"/>
      <c r="AA233" s="112"/>
      <c r="AB233" s="112"/>
      <c r="AC233" s="112"/>
      <c r="AD233" s="112"/>
      <c r="AE233" s="112"/>
      <c r="AF233" s="112"/>
      <c r="AG233" s="112"/>
      <c r="AH233" s="112"/>
      <c r="AI233" s="112"/>
      <c r="AJ233" s="112"/>
      <c r="AK233" s="112"/>
      <c r="AL233" s="112"/>
      <c r="AM233" s="112"/>
      <c r="AN233" s="112"/>
      <c r="AO233" s="112"/>
      <c r="AP233" s="112"/>
      <c r="AQ233" s="112"/>
      <c r="AS233" s="20"/>
      <c r="AT233" s="20"/>
      <c r="AU233" s="20"/>
      <c r="AV233" s="20"/>
      <c r="AW233" s="20"/>
      <c r="AX233" s="20"/>
      <c r="AY233" s="20"/>
      <c r="AZ233" s="20"/>
    </row>
    <row r="234" ht="12.0" customHeight="1">
      <c r="A234" s="112"/>
      <c r="B234" s="112"/>
      <c r="C234" s="112"/>
      <c r="D234" s="112"/>
      <c r="E234" s="112"/>
      <c r="F234" s="112"/>
      <c r="G234" s="112"/>
      <c r="H234" s="112"/>
      <c r="I234" s="126"/>
      <c r="J234" s="112"/>
      <c r="K234" s="112"/>
      <c r="L234" s="112"/>
      <c r="M234" s="112"/>
      <c r="N234" s="112"/>
      <c r="O234" s="112"/>
      <c r="P234" s="112"/>
      <c r="Q234" s="112"/>
      <c r="R234" s="112"/>
      <c r="S234" s="112"/>
      <c r="T234" s="112"/>
      <c r="U234" s="112"/>
      <c r="V234" s="112"/>
      <c r="W234" s="112"/>
      <c r="X234" s="112"/>
      <c r="Y234" s="112"/>
      <c r="Z234" s="112"/>
      <c r="AA234" s="112"/>
      <c r="AB234" s="112"/>
      <c r="AC234" s="112"/>
      <c r="AD234" s="112"/>
      <c r="AE234" s="112"/>
      <c r="AF234" s="112"/>
      <c r="AG234" s="112"/>
      <c r="AH234" s="112"/>
      <c r="AI234" s="112"/>
      <c r="AJ234" s="112"/>
      <c r="AK234" s="112"/>
      <c r="AL234" s="112"/>
      <c r="AM234" s="112"/>
      <c r="AN234" s="112"/>
      <c r="AO234" s="112"/>
      <c r="AP234" s="112"/>
      <c r="AQ234" s="112"/>
      <c r="AS234" s="20"/>
      <c r="AT234" s="20"/>
      <c r="AU234" s="20"/>
      <c r="AV234" s="20"/>
      <c r="AW234" s="20"/>
      <c r="AX234" s="20"/>
      <c r="AY234" s="20"/>
      <c r="AZ234" s="20"/>
    </row>
    <row r="235" ht="12.0" customHeight="1">
      <c r="A235" s="112"/>
      <c r="B235" s="112"/>
      <c r="C235" s="112"/>
      <c r="D235" s="112"/>
      <c r="E235" s="112"/>
      <c r="F235" s="112"/>
      <c r="G235" s="112"/>
      <c r="H235" s="112"/>
      <c r="I235" s="126"/>
      <c r="J235" s="112"/>
      <c r="K235" s="112"/>
      <c r="L235" s="112"/>
      <c r="M235" s="112"/>
      <c r="N235" s="112"/>
      <c r="O235" s="112"/>
      <c r="P235" s="112"/>
      <c r="Q235" s="112"/>
      <c r="R235" s="112"/>
      <c r="S235" s="112"/>
      <c r="T235" s="112"/>
      <c r="U235" s="112"/>
      <c r="V235" s="112"/>
      <c r="W235" s="112"/>
      <c r="X235" s="112"/>
      <c r="Y235" s="112"/>
      <c r="Z235" s="112"/>
      <c r="AA235" s="112"/>
      <c r="AB235" s="112"/>
      <c r="AC235" s="112"/>
      <c r="AD235" s="112"/>
      <c r="AE235" s="112"/>
      <c r="AF235" s="112"/>
      <c r="AG235" s="112"/>
      <c r="AH235" s="112"/>
      <c r="AI235" s="112"/>
      <c r="AJ235" s="112"/>
      <c r="AK235" s="112"/>
      <c r="AL235" s="112"/>
      <c r="AM235" s="112"/>
      <c r="AN235" s="112"/>
      <c r="AO235" s="112"/>
      <c r="AP235" s="112"/>
      <c r="AQ235" s="112"/>
      <c r="AS235" s="20"/>
      <c r="AT235" s="20"/>
      <c r="AU235" s="20"/>
      <c r="AV235" s="20"/>
      <c r="AW235" s="20"/>
      <c r="AX235" s="20"/>
      <c r="AY235" s="20"/>
      <c r="AZ235" s="20"/>
    </row>
    <row r="236" ht="12.0" customHeight="1">
      <c r="A236" s="112"/>
      <c r="B236" s="112"/>
      <c r="C236" s="112"/>
      <c r="D236" s="112"/>
      <c r="E236" s="112"/>
      <c r="F236" s="112"/>
      <c r="G236" s="112"/>
      <c r="H236" s="112"/>
      <c r="I236" s="126"/>
      <c r="J236" s="112"/>
      <c r="K236" s="112"/>
      <c r="L236" s="112"/>
      <c r="M236" s="112"/>
      <c r="N236" s="112"/>
      <c r="O236" s="112"/>
      <c r="P236" s="112"/>
      <c r="Q236" s="112"/>
      <c r="R236" s="112"/>
      <c r="S236" s="112"/>
      <c r="T236" s="112"/>
      <c r="U236" s="112"/>
      <c r="V236" s="112"/>
      <c r="W236" s="112"/>
      <c r="X236" s="112"/>
      <c r="Y236" s="112"/>
      <c r="Z236" s="112"/>
      <c r="AA236" s="112"/>
      <c r="AB236" s="112"/>
      <c r="AC236" s="112"/>
      <c r="AD236" s="112"/>
      <c r="AE236" s="112"/>
      <c r="AF236" s="112"/>
      <c r="AG236" s="112"/>
      <c r="AH236" s="112"/>
      <c r="AI236" s="112"/>
      <c r="AJ236" s="112"/>
      <c r="AK236" s="112"/>
      <c r="AL236" s="112"/>
      <c r="AM236" s="112"/>
      <c r="AN236" s="112"/>
      <c r="AO236" s="112"/>
      <c r="AP236" s="112"/>
      <c r="AQ236" s="112"/>
      <c r="AS236" s="20"/>
      <c r="AT236" s="20"/>
      <c r="AU236" s="20"/>
      <c r="AV236" s="20"/>
      <c r="AW236" s="20"/>
      <c r="AX236" s="20"/>
      <c r="AY236" s="20"/>
      <c r="AZ236" s="20"/>
    </row>
    <row r="237" ht="12.0" customHeight="1">
      <c r="A237" s="112"/>
      <c r="B237" s="112"/>
      <c r="C237" s="112"/>
      <c r="D237" s="112"/>
      <c r="E237" s="112"/>
      <c r="F237" s="112"/>
      <c r="G237" s="112"/>
      <c r="H237" s="112"/>
      <c r="I237" s="126"/>
      <c r="J237" s="112"/>
      <c r="K237" s="112"/>
      <c r="L237" s="112"/>
      <c r="M237" s="112"/>
      <c r="N237" s="112"/>
      <c r="O237" s="112"/>
      <c r="P237" s="112"/>
      <c r="Q237" s="112"/>
      <c r="R237" s="112"/>
      <c r="S237" s="112"/>
      <c r="T237" s="112"/>
      <c r="U237" s="112"/>
      <c r="V237" s="112"/>
      <c r="W237" s="112"/>
      <c r="X237" s="112"/>
      <c r="Y237" s="112"/>
      <c r="Z237" s="112"/>
      <c r="AA237" s="112"/>
      <c r="AB237" s="112"/>
      <c r="AC237" s="112"/>
      <c r="AD237" s="112"/>
      <c r="AE237" s="112"/>
      <c r="AF237" s="112"/>
      <c r="AG237" s="112"/>
      <c r="AH237" s="112"/>
      <c r="AI237" s="112"/>
      <c r="AJ237" s="112"/>
      <c r="AK237" s="112"/>
      <c r="AL237" s="112"/>
      <c r="AM237" s="112"/>
      <c r="AN237" s="112"/>
      <c r="AO237" s="112"/>
      <c r="AP237" s="112"/>
      <c r="AQ237" s="112"/>
      <c r="AS237" s="20"/>
      <c r="AT237" s="20"/>
      <c r="AU237" s="20"/>
      <c r="AV237" s="20"/>
      <c r="AW237" s="20"/>
      <c r="AX237" s="20"/>
      <c r="AY237" s="20"/>
      <c r="AZ237" s="20"/>
    </row>
    <row r="238" ht="12.0" customHeight="1">
      <c r="A238" s="112"/>
      <c r="B238" s="112"/>
      <c r="C238" s="112"/>
      <c r="D238" s="112"/>
      <c r="E238" s="112"/>
      <c r="F238" s="112"/>
      <c r="G238" s="112"/>
      <c r="H238" s="112"/>
      <c r="I238" s="126"/>
      <c r="J238" s="112"/>
      <c r="K238" s="112"/>
      <c r="L238" s="112"/>
      <c r="M238" s="112"/>
      <c r="N238" s="112"/>
      <c r="O238" s="112"/>
      <c r="P238" s="112"/>
      <c r="Q238" s="112"/>
      <c r="R238" s="112"/>
      <c r="S238" s="112"/>
      <c r="T238" s="112"/>
      <c r="U238" s="112"/>
      <c r="V238" s="112"/>
      <c r="W238" s="112"/>
      <c r="X238" s="112"/>
      <c r="Y238" s="112"/>
      <c r="Z238" s="112"/>
      <c r="AA238" s="112"/>
      <c r="AB238" s="112"/>
      <c r="AC238" s="112"/>
      <c r="AD238" s="112"/>
      <c r="AE238" s="112"/>
      <c r="AF238" s="112"/>
      <c r="AG238" s="112"/>
      <c r="AH238" s="112"/>
      <c r="AI238" s="112"/>
      <c r="AJ238" s="112"/>
      <c r="AK238" s="112"/>
      <c r="AL238" s="112"/>
      <c r="AM238" s="112"/>
      <c r="AN238" s="112"/>
      <c r="AO238" s="112"/>
      <c r="AP238" s="112"/>
      <c r="AQ238" s="112"/>
      <c r="AS238" s="20"/>
      <c r="AT238" s="20"/>
      <c r="AU238" s="20"/>
      <c r="AV238" s="20"/>
      <c r="AW238" s="20"/>
      <c r="AX238" s="20"/>
      <c r="AY238" s="20"/>
      <c r="AZ238" s="20"/>
    </row>
    <row r="239" ht="12.0" customHeight="1">
      <c r="A239" s="112"/>
      <c r="B239" s="112"/>
      <c r="C239" s="112"/>
      <c r="D239" s="112"/>
      <c r="E239" s="112"/>
      <c r="F239" s="112"/>
      <c r="G239" s="112"/>
      <c r="H239" s="112"/>
      <c r="I239" s="126"/>
      <c r="J239" s="112"/>
      <c r="K239" s="112"/>
      <c r="L239" s="112"/>
      <c r="M239" s="112"/>
      <c r="N239" s="112"/>
      <c r="O239" s="112"/>
      <c r="P239" s="112"/>
      <c r="Q239" s="112"/>
      <c r="R239" s="112"/>
      <c r="S239" s="112"/>
      <c r="T239" s="112"/>
      <c r="U239" s="112"/>
      <c r="V239" s="112"/>
      <c r="W239" s="112"/>
      <c r="X239" s="112"/>
      <c r="Y239" s="112"/>
      <c r="Z239" s="112"/>
      <c r="AA239" s="112"/>
      <c r="AB239" s="112"/>
      <c r="AC239" s="112"/>
      <c r="AD239" s="112"/>
      <c r="AE239" s="112"/>
      <c r="AF239" s="112"/>
      <c r="AG239" s="112"/>
      <c r="AH239" s="112"/>
      <c r="AI239" s="112"/>
      <c r="AJ239" s="112"/>
      <c r="AK239" s="112"/>
      <c r="AL239" s="112"/>
      <c r="AM239" s="112"/>
      <c r="AN239" s="112"/>
      <c r="AO239" s="112"/>
      <c r="AP239" s="112"/>
      <c r="AQ239" s="112"/>
      <c r="AS239" s="20"/>
      <c r="AT239" s="20"/>
      <c r="AU239" s="20"/>
      <c r="AV239" s="20"/>
      <c r="AW239" s="20"/>
      <c r="AX239" s="20"/>
      <c r="AY239" s="20"/>
      <c r="AZ239" s="20"/>
    </row>
    <row r="240" ht="12.0" customHeight="1">
      <c r="A240" s="112"/>
      <c r="B240" s="112"/>
      <c r="C240" s="112"/>
      <c r="D240" s="112"/>
      <c r="E240" s="112"/>
      <c r="F240" s="112"/>
      <c r="G240" s="112"/>
      <c r="H240" s="112"/>
      <c r="I240" s="126"/>
      <c r="J240" s="112"/>
      <c r="K240" s="112"/>
      <c r="L240" s="112"/>
      <c r="M240" s="112"/>
      <c r="N240" s="112"/>
      <c r="O240" s="112"/>
      <c r="P240" s="112"/>
      <c r="Q240" s="112"/>
      <c r="R240" s="112"/>
      <c r="S240" s="112"/>
      <c r="T240" s="112"/>
      <c r="U240" s="112"/>
      <c r="V240" s="112"/>
      <c r="W240" s="112"/>
      <c r="X240" s="112"/>
      <c r="Y240" s="112"/>
      <c r="Z240" s="112"/>
      <c r="AA240" s="112"/>
      <c r="AB240" s="112"/>
      <c r="AC240" s="112"/>
      <c r="AD240" s="112"/>
      <c r="AE240" s="112"/>
      <c r="AF240" s="112"/>
      <c r="AG240" s="112"/>
      <c r="AH240" s="112"/>
      <c r="AI240" s="112"/>
      <c r="AJ240" s="112"/>
      <c r="AK240" s="112"/>
      <c r="AL240" s="112"/>
      <c r="AM240" s="112"/>
      <c r="AN240" s="112"/>
      <c r="AO240" s="112"/>
      <c r="AP240" s="112"/>
      <c r="AQ240" s="112"/>
      <c r="AS240" s="20"/>
      <c r="AT240" s="20"/>
      <c r="AU240" s="20"/>
      <c r="AV240" s="20"/>
      <c r="AW240" s="20"/>
      <c r="AX240" s="20"/>
      <c r="AY240" s="20"/>
      <c r="AZ240" s="20"/>
    </row>
    <row r="241" ht="12.0" customHeight="1">
      <c r="A241" s="112"/>
      <c r="B241" s="112"/>
      <c r="C241" s="112"/>
      <c r="D241" s="112"/>
      <c r="E241" s="112"/>
      <c r="F241" s="112"/>
      <c r="G241" s="112"/>
      <c r="H241" s="112"/>
      <c r="I241" s="126"/>
      <c r="J241" s="112"/>
      <c r="K241" s="112"/>
      <c r="L241" s="112"/>
      <c r="M241" s="112"/>
      <c r="N241" s="112"/>
      <c r="O241" s="112"/>
      <c r="P241" s="112"/>
      <c r="Q241" s="112"/>
      <c r="R241" s="112"/>
      <c r="S241" s="112"/>
      <c r="T241" s="112"/>
      <c r="U241" s="112"/>
      <c r="V241" s="112"/>
      <c r="W241" s="112"/>
      <c r="X241" s="112"/>
      <c r="Y241" s="112"/>
      <c r="Z241" s="112"/>
      <c r="AA241" s="112"/>
      <c r="AB241" s="112"/>
      <c r="AC241" s="112"/>
      <c r="AD241" s="112"/>
      <c r="AE241" s="112"/>
      <c r="AF241" s="112"/>
      <c r="AG241" s="112"/>
      <c r="AH241" s="112"/>
      <c r="AI241" s="112"/>
      <c r="AJ241" s="112"/>
      <c r="AK241" s="112"/>
      <c r="AL241" s="112"/>
      <c r="AM241" s="112"/>
      <c r="AN241" s="112"/>
      <c r="AO241" s="112"/>
      <c r="AP241" s="112"/>
      <c r="AQ241" s="112"/>
      <c r="AS241" s="20"/>
      <c r="AT241" s="20"/>
      <c r="AU241" s="20"/>
      <c r="AV241" s="20"/>
      <c r="AW241" s="20"/>
      <c r="AX241" s="20"/>
      <c r="AY241" s="20"/>
      <c r="AZ241" s="20"/>
    </row>
    <row r="242" ht="15.75" customHeight="1">
      <c r="A242" s="20"/>
      <c r="B242" s="20"/>
      <c r="C242" s="20"/>
      <c r="D242" s="20"/>
      <c r="E242" s="20"/>
      <c r="F242" s="20"/>
      <c r="G242" s="20"/>
      <c r="H242" s="20"/>
      <c r="I242" s="127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  <c r="AH242" s="20"/>
      <c r="AI242" s="20"/>
      <c r="AJ242" s="20"/>
      <c r="AK242" s="20"/>
      <c r="AL242" s="20"/>
      <c r="AM242" s="20"/>
      <c r="AN242" s="20"/>
      <c r="AO242" s="20"/>
      <c r="AP242" s="20"/>
      <c r="AQ242" s="20"/>
      <c r="AS242" s="20"/>
      <c r="AT242" s="20"/>
      <c r="AU242" s="20"/>
      <c r="AV242" s="20"/>
      <c r="AW242" s="20"/>
      <c r="AX242" s="20"/>
      <c r="AY242" s="20"/>
      <c r="AZ242" s="20"/>
    </row>
    <row r="243" ht="15.75" customHeight="1">
      <c r="A243" s="20"/>
      <c r="B243" s="20"/>
      <c r="C243" s="20"/>
      <c r="D243" s="20"/>
      <c r="E243" s="20"/>
      <c r="F243" s="20"/>
      <c r="G243" s="20"/>
      <c r="H243" s="20"/>
      <c r="I243" s="127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  <c r="AH243" s="20"/>
      <c r="AI243" s="20"/>
      <c r="AJ243" s="20"/>
      <c r="AK243" s="20"/>
      <c r="AL243" s="20"/>
      <c r="AM243" s="20"/>
      <c r="AN243" s="20"/>
      <c r="AO243" s="20"/>
      <c r="AP243" s="20"/>
      <c r="AQ243" s="20"/>
      <c r="AS243" s="20"/>
      <c r="AT243" s="20"/>
      <c r="AU243" s="20"/>
      <c r="AV243" s="20"/>
      <c r="AW243" s="20"/>
      <c r="AX243" s="20"/>
      <c r="AY243" s="20"/>
      <c r="AZ243" s="20"/>
    </row>
    <row r="244" ht="15.75" customHeight="1">
      <c r="A244" s="20"/>
      <c r="B244" s="20"/>
      <c r="C244" s="20"/>
      <c r="D244" s="20"/>
      <c r="E244" s="20"/>
      <c r="F244" s="20"/>
      <c r="G244" s="20"/>
      <c r="H244" s="20"/>
      <c r="I244" s="127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  <c r="AH244" s="20"/>
      <c r="AI244" s="20"/>
      <c r="AJ244" s="20"/>
      <c r="AK244" s="20"/>
      <c r="AL244" s="20"/>
      <c r="AM244" s="20"/>
      <c r="AN244" s="20"/>
      <c r="AO244" s="20"/>
      <c r="AP244" s="20"/>
      <c r="AQ244" s="20"/>
      <c r="AS244" s="20"/>
      <c r="AT244" s="20"/>
      <c r="AU244" s="20"/>
      <c r="AV244" s="20"/>
      <c r="AW244" s="20"/>
      <c r="AX244" s="20"/>
      <c r="AY244" s="20"/>
      <c r="AZ244" s="20"/>
    </row>
    <row r="245" ht="15.75" customHeight="1">
      <c r="A245" s="20"/>
      <c r="B245" s="20"/>
      <c r="C245" s="20"/>
      <c r="D245" s="20"/>
      <c r="E245" s="20"/>
      <c r="F245" s="20"/>
      <c r="G245" s="20"/>
      <c r="H245" s="20"/>
      <c r="I245" s="127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  <c r="AG245" s="20"/>
      <c r="AH245" s="20"/>
      <c r="AI245" s="20"/>
      <c r="AJ245" s="20"/>
      <c r="AK245" s="20"/>
      <c r="AL245" s="20"/>
      <c r="AM245" s="20"/>
      <c r="AN245" s="20"/>
      <c r="AO245" s="20"/>
      <c r="AP245" s="20"/>
      <c r="AQ245" s="20"/>
      <c r="AS245" s="20"/>
      <c r="AT245" s="20"/>
      <c r="AU245" s="20"/>
      <c r="AV245" s="20"/>
      <c r="AW245" s="20"/>
      <c r="AX245" s="20"/>
      <c r="AY245" s="20"/>
      <c r="AZ245" s="20"/>
    </row>
    <row r="246" ht="15.75" customHeight="1">
      <c r="A246" s="20"/>
      <c r="B246" s="20"/>
      <c r="C246" s="20"/>
      <c r="D246" s="20"/>
      <c r="E246" s="20"/>
      <c r="F246" s="20"/>
      <c r="G246" s="20"/>
      <c r="H246" s="20"/>
      <c r="I246" s="127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  <c r="AH246" s="20"/>
      <c r="AI246" s="20"/>
      <c r="AJ246" s="20"/>
      <c r="AK246" s="20"/>
      <c r="AL246" s="20"/>
      <c r="AM246" s="20"/>
      <c r="AN246" s="20"/>
      <c r="AO246" s="20"/>
      <c r="AP246" s="20"/>
      <c r="AQ246" s="20"/>
      <c r="AS246" s="20"/>
      <c r="AT246" s="20"/>
      <c r="AU246" s="20"/>
      <c r="AV246" s="20"/>
      <c r="AW246" s="20"/>
      <c r="AX246" s="20"/>
      <c r="AY246" s="20"/>
      <c r="AZ246" s="20"/>
    </row>
    <row r="247" ht="15.75" customHeight="1">
      <c r="A247" s="20"/>
      <c r="B247" s="20"/>
      <c r="C247" s="20"/>
      <c r="D247" s="20"/>
      <c r="E247" s="20"/>
      <c r="F247" s="20"/>
      <c r="G247" s="20"/>
      <c r="H247" s="20"/>
      <c r="I247" s="127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  <c r="AH247" s="20"/>
      <c r="AI247" s="20"/>
      <c r="AJ247" s="20"/>
      <c r="AK247" s="20"/>
      <c r="AL247" s="20"/>
      <c r="AM247" s="20"/>
      <c r="AN247" s="20"/>
      <c r="AO247" s="20"/>
      <c r="AP247" s="20"/>
      <c r="AQ247" s="20"/>
      <c r="AS247" s="20"/>
      <c r="AT247" s="20"/>
      <c r="AU247" s="20"/>
      <c r="AV247" s="20"/>
      <c r="AW247" s="20"/>
      <c r="AX247" s="20"/>
      <c r="AY247" s="20"/>
      <c r="AZ247" s="20"/>
    </row>
    <row r="248" ht="15.75" customHeight="1">
      <c r="A248" s="20"/>
      <c r="B248" s="20"/>
      <c r="C248" s="20"/>
      <c r="D248" s="20"/>
      <c r="E248" s="20"/>
      <c r="F248" s="20"/>
      <c r="G248" s="20"/>
      <c r="H248" s="20"/>
      <c r="I248" s="127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  <c r="AH248" s="20"/>
      <c r="AI248" s="20"/>
      <c r="AJ248" s="20"/>
      <c r="AK248" s="20"/>
      <c r="AL248" s="20"/>
      <c r="AM248" s="20"/>
      <c r="AN248" s="20"/>
      <c r="AO248" s="20"/>
      <c r="AP248" s="20"/>
      <c r="AQ248" s="20"/>
      <c r="AS248" s="20"/>
      <c r="AT248" s="20"/>
      <c r="AU248" s="20"/>
      <c r="AV248" s="20"/>
      <c r="AW248" s="20"/>
      <c r="AX248" s="20"/>
      <c r="AY248" s="20"/>
      <c r="AZ248" s="20"/>
    </row>
    <row r="249" ht="15.75" customHeight="1">
      <c r="A249" s="20"/>
      <c r="B249" s="20"/>
      <c r="C249" s="20"/>
      <c r="D249" s="20"/>
      <c r="E249" s="20"/>
      <c r="F249" s="20"/>
      <c r="G249" s="20"/>
      <c r="H249" s="20"/>
      <c r="I249" s="127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  <c r="AG249" s="20"/>
      <c r="AH249" s="20"/>
      <c r="AI249" s="20"/>
      <c r="AJ249" s="20"/>
      <c r="AK249" s="20"/>
      <c r="AL249" s="20"/>
      <c r="AM249" s="20"/>
      <c r="AN249" s="20"/>
      <c r="AO249" s="20"/>
      <c r="AP249" s="20"/>
      <c r="AQ249" s="20"/>
      <c r="AS249" s="20"/>
      <c r="AT249" s="20"/>
      <c r="AU249" s="20"/>
      <c r="AV249" s="20"/>
      <c r="AW249" s="20"/>
      <c r="AX249" s="20"/>
      <c r="AY249" s="20"/>
      <c r="AZ249" s="20"/>
    </row>
    <row r="250" ht="15.75" customHeight="1">
      <c r="A250" s="20"/>
      <c r="B250" s="20"/>
      <c r="C250" s="20"/>
      <c r="D250" s="20"/>
      <c r="E250" s="20"/>
      <c r="F250" s="20"/>
      <c r="G250" s="20"/>
      <c r="H250" s="20"/>
      <c r="I250" s="127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  <c r="AF250" s="20"/>
      <c r="AG250" s="20"/>
      <c r="AH250" s="20"/>
      <c r="AI250" s="20"/>
      <c r="AJ250" s="20"/>
      <c r="AK250" s="20"/>
      <c r="AL250" s="20"/>
      <c r="AM250" s="20"/>
      <c r="AN250" s="20"/>
      <c r="AO250" s="20"/>
      <c r="AP250" s="20"/>
      <c r="AQ250" s="20"/>
      <c r="AS250" s="20"/>
      <c r="AT250" s="20"/>
      <c r="AU250" s="20"/>
      <c r="AV250" s="20"/>
      <c r="AW250" s="20"/>
      <c r="AX250" s="20"/>
      <c r="AY250" s="20"/>
      <c r="AZ250" s="20"/>
    </row>
    <row r="251" ht="15.75" customHeight="1">
      <c r="A251" s="20"/>
      <c r="B251" s="20"/>
      <c r="C251" s="20"/>
      <c r="D251" s="20"/>
      <c r="E251" s="20"/>
      <c r="F251" s="20"/>
      <c r="G251" s="20"/>
      <c r="H251" s="20"/>
      <c r="I251" s="127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0"/>
      <c r="AG251" s="20"/>
      <c r="AH251" s="20"/>
      <c r="AI251" s="20"/>
      <c r="AJ251" s="20"/>
      <c r="AK251" s="20"/>
      <c r="AL251" s="20"/>
      <c r="AM251" s="20"/>
      <c r="AN251" s="20"/>
      <c r="AO251" s="20"/>
      <c r="AP251" s="20"/>
      <c r="AQ251" s="20"/>
      <c r="AS251" s="20"/>
      <c r="AT251" s="20"/>
      <c r="AU251" s="20"/>
      <c r="AV251" s="20"/>
      <c r="AW251" s="20"/>
      <c r="AX251" s="20"/>
      <c r="AY251" s="20"/>
      <c r="AZ251" s="20"/>
    </row>
    <row r="252" ht="15.75" customHeight="1">
      <c r="A252" s="20"/>
      <c r="B252" s="20"/>
      <c r="C252" s="20"/>
      <c r="D252" s="20"/>
      <c r="E252" s="20"/>
      <c r="F252" s="20"/>
      <c r="G252" s="20"/>
      <c r="H252" s="20"/>
      <c r="I252" s="127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0"/>
      <c r="AG252" s="20"/>
      <c r="AH252" s="20"/>
      <c r="AI252" s="20"/>
      <c r="AJ252" s="20"/>
      <c r="AK252" s="20"/>
      <c r="AL252" s="20"/>
      <c r="AM252" s="20"/>
      <c r="AN252" s="20"/>
      <c r="AO252" s="20"/>
      <c r="AP252" s="20"/>
      <c r="AQ252" s="20"/>
      <c r="AS252" s="20"/>
      <c r="AT252" s="20"/>
      <c r="AU252" s="20"/>
      <c r="AV252" s="20"/>
      <c r="AW252" s="20"/>
      <c r="AX252" s="20"/>
      <c r="AY252" s="20"/>
      <c r="AZ252" s="20"/>
    </row>
    <row r="253" ht="15.75" customHeight="1">
      <c r="A253" s="20"/>
      <c r="B253" s="20"/>
      <c r="C253" s="20"/>
      <c r="D253" s="20"/>
      <c r="E253" s="20"/>
      <c r="F253" s="20"/>
      <c r="G253" s="20"/>
      <c r="H253" s="20"/>
      <c r="I253" s="127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  <c r="AH253" s="20"/>
      <c r="AI253" s="20"/>
      <c r="AJ253" s="20"/>
      <c r="AK253" s="20"/>
      <c r="AL253" s="20"/>
      <c r="AM253" s="20"/>
      <c r="AN253" s="20"/>
      <c r="AO253" s="20"/>
      <c r="AP253" s="20"/>
      <c r="AQ253" s="20"/>
      <c r="AS253" s="20"/>
      <c r="AT253" s="20"/>
      <c r="AU253" s="20"/>
      <c r="AV253" s="20"/>
      <c r="AW253" s="20"/>
      <c r="AX253" s="20"/>
      <c r="AY253" s="20"/>
      <c r="AZ253" s="20"/>
    </row>
    <row r="254" ht="15.75" customHeight="1">
      <c r="A254" s="20"/>
      <c r="B254" s="20"/>
      <c r="C254" s="20"/>
      <c r="D254" s="20"/>
      <c r="E254" s="20"/>
      <c r="F254" s="20"/>
      <c r="G254" s="20"/>
      <c r="H254" s="20"/>
      <c r="I254" s="127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  <c r="AH254" s="20"/>
      <c r="AI254" s="20"/>
      <c r="AJ254" s="20"/>
      <c r="AK254" s="20"/>
      <c r="AL254" s="20"/>
      <c r="AM254" s="20"/>
      <c r="AN254" s="20"/>
      <c r="AO254" s="20"/>
      <c r="AP254" s="20"/>
      <c r="AQ254" s="20"/>
      <c r="AS254" s="20"/>
      <c r="AT254" s="20"/>
      <c r="AU254" s="20"/>
      <c r="AV254" s="20"/>
      <c r="AW254" s="20"/>
      <c r="AX254" s="20"/>
      <c r="AY254" s="20"/>
      <c r="AZ254" s="20"/>
    </row>
    <row r="255" ht="15.75" customHeight="1">
      <c r="A255" s="20"/>
      <c r="B255" s="20"/>
      <c r="C255" s="20"/>
      <c r="D255" s="20"/>
      <c r="E255" s="20"/>
      <c r="F255" s="20"/>
      <c r="G255" s="20"/>
      <c r="H255" s="20"/>
      <c r="I255" s="127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  <c r="AH255" s="20"/>
      <c r="AI255" s="20"/>
      <c r="AJ255" s="20"/>
      <c r="AK255" s="20"/>
      <c r="AL255" s="20"/>
      <c r="AM255" s="20"/>
      <c r="AN255" s="20"/>
      <c r="AO255" s="20"/>
      <c r="AP255" s="20"/>
      <c r="AQ255" s="20"/>
      <c r="AS255" s="20"/>
      <c r="AT255" s="20"/>
      <c r="AU255" s="20"/>
      <c r="AV255" s="20"/>
      <c r="AW255" s="20"/>
      <c r="AX255" s="20"/>
      <c r="AY255" s="20"/>
      <c r="AZ255" s="20"/>
    </row>
    <row r="256" ht="15.75" customHeight="1">
      <c r="A256" s="20"/>
      <c r="B256" s="20"/>
      <c r="C256" s="20"/>
      <c r="D256" s="20"/>
      <c r="E256" s="20"/>
      <c r="F256" s="20"/>
      <c r="G256" s="20"/>
      <c r="H256" s="20"/>
      <c r="I256" s="127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  <c r="AH256" s="20"/>
      <c r="AI256" s="20"/>
      <c r="AJ256" s="20"/>
      <c r="AK256" s="20"/>
      <c r="AL256" s="20"/>
      <c r="AM256" s="20"/>
      <c r="AN256" s="20"/>
      <c r="AO256" s="20"/>
      <c r="AP256" s="20"/>
      <c r="AQ256" s="20"/>
      <c r="AS256" s="20"/>
      <c r="AT256" s="20"/>
      <c r="AU256" s="20"/>
      <c r="AV256" s="20"/>
      <c r="AW256" s="20"/>
      <c r="AX256" s="20"/>
      <c r="AY256" s="20"/>
      <c r="AZ256" s="20"/>
    </row>
    <row r="257" ht="15.75" customHeight="1">
      <c r="A257" s="20"/>
      <c r="B257" s="20"/>
      <c r="C257" s="20"/>
      <c r="D257" s="20"/>
      <c r="E257" s="20"/>
      <c r="F257" s="20"/>
      <c r="G257" s="20"/>
      <c r="H257" s="20"/>
      <c r="I257" s="127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  <c r="AH257" s="20"/>
      <c r="AI257" s="20"/>
      <c r="AJ257" s="20"/>
      <c r="AK257" s="20"/>
      <c r="AL257" s="20"/>
      <c r="AM257" s="20"/>
      <c r="AN257" s="20"/>
      <c r="AO257" s="20"/>
      <c r="AP257" s="20"/>
      <c r="AQ257" s="20"/>
      <c r="AS257" s="20"/>
      <c r="AT257" s="20"/>
      <c r="AU257" s="20"/>
      <c r="AV257" s="20"/>
      <c r="AW257" s="20"/>
      <c r="AX257" s="20"/>
      <c r="AY257" s="20"/>
      <c r="AZ257" s="20"/>
    </row>
    <row r="258" ht="15.75" customHeight="1">
      <c r="A258" s="20"/>
      <c r="B258" s="20"/>
      <c r="C258" s="20"/>
      <c r="D258" s="20"/>
      <c r="E258" s="20"/>
      <c r="F258" s="20"/>
      <c r="G258" s="20"/>
      <c r="H258" s="20"/>
      <c r="I258" s="127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0"/>
      <c r="AG258" s="20"/>
      <c r="AH258" s="20"/>
      <c r="AI258" s="20"/>
      <c r="AJ258" s="20"/>
      <c r="AK258" s="20"/>
      <c r="AL258" s="20"/>
      <c r="AM258" s="20"/>
      <c r="AN258" s="20"/>
      <c r="AO258" s="20"/>
      <c r="AP258" s="20"/>
      <c r="AQ258" s="20"/>
      <c r="AS258" s="20"/>
      <c r="AT258" s="20"/>
      <c r="AU258" s="20"/>
      <c r="AV258" s="20"/>
      <c r="AW258" s="20"/>
      <c r="AX258" s="20"/>
      <c r="AY258" s="20"/>
      <c r="AZ258" s="20"/>
    </row>
    <row r="259" ht="15.75" customHeight="1">
      <c r="A259" s="20"/>
      <c r="B259" s="20"/>
      <c r="C259" s="20"/>
      <c r="D259" s="20"/>
      <c r="E259" s="20"/>
      <c r="F259" s="20"/>
      <c r="G259" s="20"/>
      <c r="H259" s="20"/>
      <c r="I259" s="127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  <c r="AH259" s="20"/>
      <c r="AI259" s="20"/>
      <c r="AJ259" s="20"/>
      <c r="AK259" s="20"/>
      <c r="AL259" s="20"/>
      <c r="AM259" s="20"/>
      <c r="AN259" s="20"/>
      <c r="AO259" s="20"/>
      <c r="AP259" s="20"/>
      <c r="AQ259" s="20"/>
      <c r="AS259" s="20"/>
      <c r="AT259" s="20"/>
      <c r="AU259" s="20"/>
      <c r="AV259" s="20"/>
      <c r="AW259" s="20"/>
      <c r="AX259" s="20"/>
      <c r="AY259" s="20"/>
      <c r="AZ259" s="20"/>
    </row>
    <row r="260" ht="15.75" customHeight="1">
      <c r="A260" s="20"/>
      <c r="B260" s="20"/>
      <c r="C260" s="20"/>
      <c r="D260" s="20"/>
      <c r="E260" s="20"/>
      <c r="F260" s="20"/>
      <c r="G260" s="20"/>
      <c r="H260" s="20"/>
      <c r="I260" s="127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  <c r="AH260" s="20"/>
      <c r="AI260" s="20"/>
      <c r="AJ260" s="20"/>
      <c r="AK260" s="20"/>
      <c r="AL260" s="20"/>
      <c r="AM260" s="20"/>
      <c r="AN260" s="20"/>
      <c r="AO260" s="20"/>
      <c r="AP260" s="20"/>
      <c r="AQ260" s="20"/>
      <c r="AS260" s="20"/>
      <c r="AT260" s="20"/>
      <c r="AU260" s="20"/>
      <c r="AV260" s="20"/>
      <c r="AW260" s="20"/>
      <c r="AX260" s="20"/>
      <c r="AY260" s="20"/>
      <c r="AZ260" s="20"/>
    </row>
    <row r="261" ht="15.75" customHeight="1">
      <c r="A261" s="20"/>
      <c r="B261" s="20"/>
      <c r="C261" s="20"/>
      <c r="D261" s="20"/>
      <c r="E261" s="20"/>
      <c r="F261" s="20"/>
      <c r="G261" s="20"/>
      <c r="H261" s="20"/>
      <c r="I261" s="127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  <c r="AH261" s="20"/>
      <c r="AI261" s="20"/>
      <c r="AJ261" s="20"/>
      <c r="AK261" s="20"/>
      <c r="AL261" s="20"/>
      <c r="AM261" s="20"/>
      <c r="AN261" s="20"/>
      <c r="AO261" s="20"/>
      <c r="AP261" s="20"/>
      <c r="AQ261" s="20"/>
      <c r="AS261" s="20"/>
      <c r="AT261" s="20"/>
      <c r="AU261" s="20"/>
      <c r="AV261" s="20"/>
      <c r="AW261" s="20"/>
      <c r="AX261" s="20"/>
      <c r="AY261" s="20"/>
      <c r="AZ261" s="20"/>
    </row>
    <row r="262" ht="15.75" customHeight="1">
      <c r="A262" s="20"/>
      <c r="B262" s="20"/>
      <c r="C262" s="20"/>
      <c r="D262" s="20"/>
      <c r="E262" s="20"/>
      <c r="F262" s="20"/>
      <c r="G262" s="20"/>
      <c r="H262" s="20"/>
      <c r="I262" s="127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  <c r="AH262" s="20"/>
      <c r="AI262" s="20"/>
      <c r="AJ262" s="20"/>
      <c r="AK262" s="20"/>
      <c r="AL262" s="20"/>
      <c r="AM262" s="20"/>
      <c r="AN262" s="20"/>
      <c r="AO262" s="20"/>
      <c r="AP262" s="20"/>
      <c r="AQ262" s="20"/>
      <c r="AS262" s="20"/>
      <c r="AT262" s="20"/>
      <c r="AU262" s="20"/>
      <c r="AV262" s="20"/>
      <c r="AW262" s="20"/>
      <c r="AX262" s="20"/>
      <c r="AY262" s="20"/>
      <c r="AZ262" s="20"/>
    </row>
    <row r="263" ht="15.75" customHeight="1">
      <c r="A263" s="20"/>
      <c r="B263" s="20"/>
      <c r="C263" s="20"/>
      <c r="D263" s="20"/>
      <c r="E263" s="20"/>
      <c r="F263" s="20"/>
      <c r="G263" s="20"/>
      <c r="H263" s="20"/>
      <c r="I263" s="127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  <c r="AH263" s="20"/>
      <c r="AI263" s="20"/>
      <c r="AJ263" s="20"/>
      <c r="AK263" s="20"/>
      <c r="AL263" s="20"/>
      <c r="AM263" s="20"/>
      <c r="AN263" s="20"/>
      <c r="AO263" s="20"/>
      <c r="AP263" s="20"/>
      <c r="AQ263" s="20"/>
      <c r="AS263" s="20"/>
      <c r="AT263" s="20"/>
      <c r="AU263" s="20"/>
      <c r="AV263" s="20"/>
      <c r="AW263" s="20"/>
      <c r="AX263" s="20"/>
      <c r="AY263" s="20"/>
      <c r="AZ263" s="20"/>
    </row>
    <row r="264" ht="15.75" customHeight="1">
      <c r="A264" s="20"/>
      <c r="B264" s="20"/>
      <c r="C264" s="20"/>
      <c r="D264" s="20"/>
      <c r="E264" s="20"/>
      <c r="F264" s="20"/>
      <c r="G264" s="20"/>
      <c r="H264" s="20"/>
      <c r="I264" s="127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  <c r="AH264" s="20"/>
      <c r="AI264" s="20"/>
      <c r="AJ264" s="20"/>
      <c r="AK264" s="20"/>
      <c r="AL264" s="20"/>
      <c r="AM264" s="20"/>
      <c r="AN264" s="20"/>
      <c r="AO264" s="20"/>
      <c r="AP264" s="20"/>
      <c r="AQ264" s="20"/>
      <c r="AS264" s="20"/>
      <c r="AT264" s="20"/>
      <c r="AU264" s="20"/>
      <c r="AV264" s="20"/>
      <c r="AW264" s="20"/>
      <c r="AX264" s="20"/>
      <c r="AY264" s="20"/>
      <c r="AZ264" s="20"/>
    </row>
    <row r="265" ht="15.75" customHeight="1">
      <c r="A265" s="20"/>
      <c r="B265" s="20"/>
      <c r="C265" s="20"/>
      <c r="D265" s="20"/>
      <c r="E265" s="20"/>
      <c r="F265" s="20"/>
      <c r="G265" s="20"/>
      <c r="H265" s="20"/>
      <c r="I265" s="127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  <c r="AH265" s="20"/>
      <c r="AI265" s="20"/>
      <c r="AJ265" s="20"/>
      <c r="AK265" s="20"/>
      <c r="AL265" s="20"/>
      <c r="AM265" s="20"/>
      <c r="AN265" s="20"/>
      <c r="AO265" s="20"/>
      <c r="AP265" s="20"/>
      <c r="AQ265" s="20"/>
      <c r="AS265" s="20"/>
      <c r="AT265" s="20"/>
      <c r="AU265" s="20"/>
      <c r="AV265" s="20"/>
      <c r="AW265" s="20"/>
      <c r="AX265" s="20"/>
      <c r="AY265" s="20"/>
      <c r="AZ265" s="20"/>
    </row>
    <row r="266" ht="15.75" customHeight="1">
      <c r="A266" s="20"/>
      <c r="B266" s="20"/>
      <c r="C266" s="20"/>
      <c r="D266" s="20"/>
      <c r="E266" s="20"/>
      <c r="F266" s="20"/>
      <c r="G266" s="20"/>
      <c r="H266" s="20"/>
      <c r="I266" s="127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20"/>
      <c r="AB266" s="20"/>
      <c r="AC266" s="20"/>
      <c r="AD266" s="20"/>
      <c r="AE266" s="20"/>
      <c r="AF266" s="20"/>
      <c r="AG266" s="20"/>
      <c r="AH266" s="20"/>
      <c r="AI266" s="20"/>
      <c r="AJ266" s="20"/>
      <c r="AK266" s="20"/>
      <c r="AL266" s="20"/>
      <c r="AM266" s="20"/>
      <c r="AN266" s="20"/>
      <c r="AO266" s="20"/>
      <c r="AP266" s="20"/>
      <c r="AQ266" s="20"/>
      <c r="AS266" s="20"/>
      <c r="AT266" s="20"/>
      <c r="AU266" s="20"/>
      <c r="AV266" s="20"/>
      <c r="AW266" s="20"/>
      <c r="AX266" s="20"/>
      <c r="AY266" s="20"/>
      <c r="AZ266" s="20"/>
    </row>
    <row r="267" ht="15.75" customHeight="1">
      <c r="A267" s="20"/>
      <c r="B267" s="20"/>
      <c r="C267" s="20"/>
      <c r="D267" s="20"/>
      <c r="E267" s="20"/>
      <c r="F267" s="20"/>
      <c r="G267" s="20"/>
      <c r="H267" s="20"/>
      <c r="I267" s="127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  <c r="AH267" s="20"/>
      <c r="AI267" s="20"/>
      <c r="AJ267" s="20"/>
      <c r="AK267" s="20"/>
      <c r="AL267" s="20"/>
      <c r="AM267" s="20"/>
      <c r="AN267" s="20"/>
      <c r="AO267" s="20"/>
      <c r="AP267" s="20"/>
      <c r="AQ267" s="20"/>
      <c r="AS267" s="20"/>
      <c r="AT267" s="20"/>
      <c r="AU267" s="20"/>
      <c r="AV267" s="20"/>
      <c r="AW267" s="20"/>
      <c r="AX267" s="20"/>
      <c r="AY267" s="20"/>
      <c r="AZ267" s="20"/>
    </row>
    <row r="268" ht="15.75" customHeight="1">
      <c r="A268" s="20"/>
      <c r="B268" s="20"/>
      <c r="C268" s="20"/>
      <c r="D268" s="20"/>
      <c r="E268" s="20"/>
      <c r="F268" s="20"/>
      <c r="G268" s="20"/>
      <c r="H268" s="20"/>
      <c r="I268" s="127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AQ268" s="20"/>
      <c r="AS268" s="20"/>
      <c r="AT268" s="20"/>
      <c r="AU268" s="20"/>
      <c r="AV268" s="20"/>
      <c r="AW268" s="20"/>
      <c r="AX268" s="20"/>
      <c r="AY268" s="20"/>
      <c r="AZ268" s="20"/>
    </row>
    <row r="269" ht="15.75" customHeight="1">
      <c r="A269" s="20"/>
      <c r="B269" s="20"/>
      <c r="C269" s="20"/>
      <c r="D269" s="20"/>
      <c r="E269" s="20"/>
      <c r="F269" s="20"/>
      <c r="G269" s="20"/>
      <c r="H269" s="20"/>
      <c r="I269" s="127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20"/>
      <c r="AB269" s="20"/>
      <c r="AC269" s="20"/>
      <c r="AD269" s="20"/>
      <c r="AE269" s="20"/>
      <c r="AF269" s="20"/>
      <c r="AG269" s="20"/>
      <c r="AH269" s="20"/>
      <c r="AI269" s="20"/>
      <c r="AJ269" s="20"/>
      <c r="AK269" s="20"/>
      <c r="AL269" s="20"/>
      <c r="AM269" s="20"/>
      <c r="AN269" s="20"/>
      <c r="AO269" s="20"/>
      <c r="AP269" s="20"/>
      <c r="AQ269" s="20"/>
      <c r="AS269" s="20"/>
      <c r="AT269" s="20"/>
      <c r="AU269" s="20"/>
      <c r="AV269" s="20"/>
      <c r="AW269" s="20"/>
      <c r="AX269" s="20"/>
      <c r="AY269" s="20"/>
      <c r="AZ269" s="20"/>
    </row>
    <row r="270" ht="15.75" customHeight="1">
      <c r="A270" s="20"/>
      <c r="B270" s="20"/>
      <c r="C270" s="20"/>
      <c r="D270" s="20"/>
      <c r="E270" s="20"/>
      <c r="F270" s="20"/>
      <c r="G270" s="20"/>
      <c r="H270" s="20"/>
      <c r="I270" s="127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20"/>
      <c r="AB270" s="20"/>
      <c r="AC270" s="20"/>
      <c r="AD270" s="20"/>
      <c r="AE270" s="20"/>
      <c r="AF270" s="20"/>
      <c r="AG270" s="20"/>
      <c r="AH270" s="20"/>
      <c r="AI270" s="20"/>
      <c r="AJ270" s="20"/>
      <c r="AK270" s="20"/>
      <c r="AL270" s="20"/>
      <c r="AM270" s="20"/>
      <c r="AN270" s="20"/>
      <c r="AO270" s="20"/>
      <c r="AP270" s="20"/>
      <c r="AQ270" s="20"/>
      <c r="AS270" s="20"/>
      <c r="AT270" s="20"/>
      <c r="AU270" s="20"/>
      <c r="AV270" s="20"/>
      <c r="AW270" s="20"/>
      <c r="AX270" s="20"/>
      <c r="AY270" s="20"/>
      <c r="AZ270" s="20"/>
    </row>
    <row r="271" ht="15.75" customHeight="1">
      <c r="A271" s="20"/>
      <c r="B271" s="20"/>
      <c r="C271" s="20"/>
      <c r="D271" s="20"/>
      <c r="E271" s="20"/>
      <c r="F271" s="20"/>
      <c r="G271" s="20"/>
      <c r="H271" s="20"/>
      <c r="I271" s="127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20"/>
      <c r="AB271" s="20"/>
      <c r="AC271" s="20"/>
      <c r="AD271" s="20"/>
      <c r="AE271" s="20"/>
      <c r="AF271" s="20"/>
      <c r="AG271" s="20"/>
      <c r="AH271" s="20"/>
      <c r="AI271" s="20"/>
      <c r="AJ271" s="20"/>
      <c r="AK271" s="20"/>
      <c r="AL271" s="20"/>
      <c r="AM271" s="20"/>
      <c r="AN271" s="20"/>
      <c r="AO271" s="20"/>
      <c r="AP271" s="20"/>
      <c r="AQ271" s="20"/>
      <c r="AS271" s="20"/>
      <c r="AT271" s="20"/>
      <c r="AU271" s="20"/>
      <c r="AV271" s="20"/>
      <c r="AW271" s="20"/>
      <c r="AX271" s="20"/>
      <c r="AY271" s="20"/>
      <c r="AZ271" s="20"/>
    </row>
    <row r="272" ht="15.75" customHeight="1">
      <c r="A272" s="20"/>
      <c r="B272" s="20"/>
      <c r="C272" s="20"/>
      <c r="D272" s="20"/>
      <c r="E272" s="20"/>
      <c r="F272" s="20"/>
      <c r="G272" s="20"/>
      <c r="H272" s="20"/>
      <c r="I272" s="127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  <c r="AH272" s="20"/>
      <c r="AI272" s="20"/>
      <c r="AJ272" s="20"/>
      <c r="AK272" s="20"/>
      <c r="AL272" s="20"/>
      <c r="AM272" s="20"/>
      <c r="AN272" s="20"/>
      <c r="AO272" s="20"/>
      <c r="AP272" s="20"/>
      <c r="AQ272" s="20"/>
      <c r="AS272" s="20"/>
      <c r="AT272" s="20"/>
      <c r="AU272" s="20"/>
      <c r="AV272" s="20"/>
      <c r="AW272" s="20"/>
      <c r="AX272" s="20"/>
      <c r="AY272" s="20"/>
      <c r="AZ272" s="20"/>
    </row>
    <row r="273" ht="15.75" customHeight="1">
      <c r="A273" s="20"/>
      <c r="B273" s="20"/>
      <c r="C273" s="20"/>
      <c r="D273" s="20"/>
      <c r="E273" s="20"/>
      <c r="F273" s="20"/>
      <c r="G273" s="20"/>
      <c r="H273" s="20"/>
      <c r="I273" s="127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  <c r="AH273" s="20"/>
      <c r="AI273" s="20"/>
      <c r="AJ273" s="20"/>
      <c r="AK273" s="20"/>
      <c r="AL273" s="20"/>
      <c r="AM273" s="20"/>
      <c r="AN273" s="20"/>
      <c r="AO273" s="20"/>
      <c r="AP273" s="20"/>
      <c r="AQ273" s="20"/>
      <c r="AS273" s="20"/>
      <c r="AT273" s="20"/>
      <c r="AU273" s="20"/>
      <c r="AV273" s="20"/>
      <c r="AW273" s="20"/>
      <c r="AX273" s="20"/>
      <c r="AY273" s="20"/>
      <c r="AZ273" s="20"/>
    </row>
    <row r="274" ht="15.75" customHeight="1">
      <c r="A274" s="20"/>
      <c r="B274" s="20"/>
      <c r="C274" s="20"/>
      <c r="D274" s="20"/>
      <c r="E274" s="20"/>
      <c r="F274" s="20"/>
      <c r="G274" s="20"/>
      <c r="H274" s="20"/>
      <c r="I274" s="127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  <c r="AH274" s="20"/>
      <c r="AI274" s="20"/>
      <c r="AJ274" s="20"/>
      <c r="AK274" s="20"/>
      <c r="AL274" s="20"/>
      <c r="AM274" s="20"/>
      <c r="AN274" s="20"/>
      <c r="AO274" s="20"/>
      <c r="AP274" s="20"/>
      <c r="AQ274" s="20"/>
      <c r="AS274" s="20"/>
      <c r="AT274" s="20"/>
      <c r="AU274" s="20"/>
      <c r="AV274" s="20"/>
      <c r="AW274" s="20"/>
      <c r="AX274" s="20"/>
      <c r="AY274" s="20"/>
      <c r="AZ274" s="20"/>
    </row>
    <row r="275" ht="15.75" customHeight="1">
      <c r="A275" s="20"/>
      <c r="B275" s="20"/>
      <c r="C275" s="20"/>
      <c r="D275" s="20"/>
      <c r="E275" s="20"/>
      <c r="F275" s="20"/>
      <c r="G275" s="20"/>
      <c r="H275" s="20"/>
      <c r="I275" s="127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  <c r="AH275" s="20"/>
      <c r="AI275" s="20"/>
      <c r="AJ275" s="20"/>
      <c r="AK275" s="20"/>
      <c r="AL275" s="20"/>
      <c r="AM275" s="20"/>
      <c r="AN275" s="20"/>
      <c r="AO275" s="20"/>
      <c r="AP275" s="20"/>
      <c r="AQ275" s="20"/>
      <c r="AS275" s="20"/>
      <c r="AT275" s="20"/>
      <c r="AU275" s="20"/>
      <c r="AV275" s="20"/>
      <c r="AW275" s="20"/>
      <c r="AX275" s="20"/>
      <c r="AY275" s="20"/>
      <c r="AZ275" s="20"/>
    </row>
    <row r="276" ht="15.75" customHeight="1">
      <c r="A276" s="20"/>
      <c r="B276" s="20"/>
      <c r="C276" s="20"/>
      <c r="D276" s="20"/>
      <c r="E276" s="20"/>
      <c r="F276" s="20"/>
      <c r="G276" s="20"/>
      <c r="H276" s="20"/>
      <c r="I276" s="127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  <c r="AH276" s="20"/>
      <c r="AI276" s="20"/>
      <c r="AJ276" s="20"/>
      <c r="AK276" s="20"/>
      <c r="AL276" s="20"/>
      <c r="AM276" s="20"/>
      <c r="AN276" s="20"/>
      <c r="AO276" s="20"/>
      <c r="AP276" s="20"/>
      <c r="AQ276" s="20"/>
      <c r="AS276" s="20"/>
      <c r="AT276" s="20"/>
      <c r="AU276" s="20"/>
      <c r="AV276" s="20"/>
      <c r="AW276" s="20"/>
      <c r="AX276" s="20"/>
      <c r="AY276" s="20"/>
      <c r="AZ276" s="20"/>
    </row>
    <row r="277" ht="15.75" customHeight="1">
      <c r="A277" s="20"/>
      <c r="B277" s="20"/>
      <c r="C277" s="20"/>
      <c r="D277" s="20"/>
      <c r="E277" s="20"/>
      <c r="F277" s="20"/>
      <c r="G277" s="20"/>
      <c r="H277" s="20"/>
      <c r="I277" s="127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  <c r="AH277" s="20"/>
      <c r="AI277" s="20"/>
      <c r="AJ277" s="20"/>
      <c r="AK277" s="20"/>
      <c r="AL277" s="20"/>
      <c r="AM277" s="20"/>
      <c r="AN277" s="20"/>
      <c r="AO277" s="20"/>
      <c r="AP277" s="20"/>
      <c r="AQ277" s="20"/>
      <c r="AS277" s="20"/>
      <c r="AT277" s="20"/>
      <c r="AU277" s="20"/>
      <c r="AV277" s="20"/>
      <c r="AW277" s="20"/>
      <c r="AX277" s="20"/>
      <c r="AY277" s="20"/>
      <c r="AZ277" s="20"/>
    </row>
    <row r="278" ht="15.75" customHeight="1">
      <c r="A278" s="20"/>
      <c r="B278" s="20"/>
      <c r="C278" s="20"/>
      <c r="D278" s="20"/>
      <c r="E278" s="20"/>
      <c r="F278" s="20"/>
      <c r="G278" s="20"/>
      <c r="H278" s="20"/>
      <c r="I278" s="127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  <c r="AH278" s="20"/>
      <c r="AI278" s="20"/>
      <c r="AJ278" s="20"/>
      <c r="AK278" s="20"/>
      <c r="AL278" s="20"/>
      <c r="AM278" s="20"/>
      <c r="AN278" s="20"/>
      <c r="AO278" s="20"/>
      <c r="AP278" s="20"/>
      <c r="AQ278" s="20"/>
      <c r="AS278" s="20"/>
      <c r="AT278" s="20"/>
      <c r="AU278" s="20"/>
      <c r="AV278" s="20"/>
      <c r="AW278" s="20"/>
      <c r="AX278" s="20"/>
      <c r="AY278" s="20"/>
      <c r="AZ278" s="20"/>
    </row>
    <row r="279" ht="15.75" customHeight="1">
      <c r="A279" s="20"/>
      <c r="B279" s="20"/>
      <c r="C279" s="20"/>
      <c r="D279" s="20"/>
      <c r="E279" s="20"/>
      <c r="F279" s="20"/>
      <c r="G279" s="20"/>
      <c r="H279" s="20"/>
      <c r="I279" s="127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  <c r="AH279" s="20"/>
      <c r="AI279" s="20"/>
      <c r="AJ279" s="20"/>
      <c r="AK279" s="20"/>
      <c r="AL279" s="20"/>
      <c r="AM279" s="20"/>
      <c r="AN279" s="20"/>
      <c r="AO279" s="20"/>
      <c r="AP279" s="20"/>
      <c r="AQ279" s="20"/>
      <c r="AS279" s="20"/>
      <c r="AT279" s="20"/>
      <c r="AU279" s="20"/>
      <c r="AV279" s="20"/>
      <c r="AW279" s="20"/>
      <c r="AX279" s="20"/>
      <c r="AY279" s="20"/>
      <c r="AZ279" s="20"/>
    </row>
    <row r="280" ht="15.75" customHeight="1">
      <c r="A280" s="20"/>
      <c r="B280" s="20"/>
      <c r="C280" s="20"/>
      <c r="D280" s="20"/>
      <c r="E280" s="20"/>
      <c r="F280" s="20"/>
      <c r="G280" s="20"/>
      <c r="H280" s="20"/>
      <c r="I280" s="127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  <c r="AH280" s="20"/>
      <c r="AI280" s="20"/>
      <c r="AJ280" s="20"/>
      <c r="AK280" s="20"/>
      <c r="AL280" s="20"/>
      <c r="AM280" s="20"/>
      <c r="AN280" s="20"/>
      <c r="AO280" s="20"/>
      <c r="AP280" s="20"/>
      <c r="AQ280" s="20"/>
      <c r="AS280" s="20"/>
      <c r="AT280" s="20"/>
      <c r="AU280" s="20"/>
      <c r="AV280" s="20"/>
      <c r="AW280" s="20"/>
      <c r="AX280" s="20"/>
      <c r="AY280" s="20"/>
      <c r="AZ280" s="20"/>
    </row>
    <row r="281" ht="15.75" customHeight="1">
      <c r="A281" s="20"/>
      <c r="B281" s="20"/>
      <c r="C281" s="20"/>
      <c r="D281" s="20"/>
      <c r="E281" s="20"/>
      <c r="F281" s="20"/>
      <c r="G281" s="20"/>
      <c r="H281" s="20"/>
      <c r="I281" s="127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  <c r="AH281" s="20"/>
      <c r="AI281" s="20"/>
      <c r="AJ281" s="20"/>
      <c r="AK281" s="20"/>
      <c r="AL281" s="20"/>
      <c r="AM281" s="20"/>
      <c r="AN281" s="20"/>
      <c r="AO281" s="20"/>
      <c r="AP281" s="20"/>
      <c r="AQ281" s="20"/>
      <c r="AS281" s="20"/>
      <c r="AT281" s="20"/>
      <c r="AU281" s="20"/>
      <c r="AV281" s="20"/>
      <c r="AW281" s="20"/>
      <c r="AX281" s="20"/>
      <c r="AY281" s="20"/>
      <c r="AZ281" s="20"/>
    </row>
    <row r="282" ht="15.75" customHeight="1">
      <c r="A282" s="20"/>
      <c r="B282" s="20"/>
      <c r="C282" s="20"/>
      <c r="D282" s="20"/>
      <c r="E282" s="20"/>
      <c r="F282" s="20"/>
      <c r="G282" s="20"/>
      <c r="H282" s="20"/>
      <c r="I282" s="127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  <c r="AH282" s="20"/>
      <c r="AI282" s="20"/>
      <c r="AJ282" s="20"/>
      <c r="AK282" s="20"/>
      <c r="AL282" s="20"/>
      <c r="AM282" s="20"/>
      <c r="AN282" s="20"/>
      <c r="AO282" s="20"/>
      <c r="AP282" s="20"/>
      <c r="AQ282" s="20"/>
      <c r="AS282" s="20"/>
      <c r="AT282" s="20"/>
      <c r="AU282" s="20"/>
      <c r="AV282" s="20"/>
      <c r="AW282" s="20"/>
      <c r="AX282" s="20"/>
      <c r="AY282" s="20"/>
      <c r="AZ282" s="20"/>
    </row>
    <row r="283" ht="15.75" customHeight="1">
      <c r="A283" s="20"/>
      <c r="B283" s="20"/>
      <c r="C283" s="20"/>
      <c r="D283" s="20"/>
      <c r="E283" s="20"/>
      <c r="F283" s="20"/>
      <c r="G283" s="20"/>
      <c r="H283" s="20"/>
      <c r="I283" s="127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  <c r="AH283" s="20"/>
      <c r="AI283" s="20"/>
      <c r="AJ283" s="20"/>
      <c r="AK283" s="20"/>
      <c r="AL283" s="20"/>
      <c r="AM283" s="20"/>
      <c r="AN283" s="20"/>
      <c r="AO283" s="20"/>
      <c r="AP283" s="20"/>
      <c r="AQ283" s="20"/>
      <c r="AS283" s="20"/>
      <c r="AT283" s="20"/>
      <c r="AU283" s="20"/>
      <c r="AV283" s="20"/>
      <c r="AW283" s="20"/>
      <c r="AX283" s="20"/>
      <c r="AY283" s="20"/>
      <c r="AZ283" s="20"/>
    </row>
    <row r="284" ht="15.75" customHeight="1">
      <c r="A284" s="20"/>
      <c r="B284" s="20"/>
      <c r="C284" s="20"/>
      <c r="D284" s="20"/>
      <c r="E284" s="20"/>
      <c r="F284" s="20"/>
      <c r="G284" s="20"/>
      <c r="H284" s="20"/>
      <c r="I284" s="127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  <c r="AH284" s="20"/>
      <c r="AI284" s="20"/>
      <c r="AJ284" s="20"/>
      <c r="AK284" s="20"/>
      <c r="AL284" s="20"/>
      <c r="AM284" s="20"/>
      <c r="AN284" s="20"/>
      <c r="AO284" s="20"/>
      <c r="AP284" s="20"/>
      <c r="AQ284" s="20"/>
      <c r="AS284" s="20"/>
      <c r="AT284" s="20"/>
      <c r="AU284" s="20"/>
      <c r="AV284" s="20"/>
      <c r="AW284" s="20"/>
      <c r="AX284" s="20"/>
      <c r="AY284" s="20"/>
      <c r="AZ284" s="20"/>
    </row>
    <row r="285" ht="15.75" customHeight="1">
      <c r="A285" s="20"/>
      <c r="B285" s="20"/>
      <c r="C285" s="20"/>
      <c r="D285" s="20"/>
      <c r="E285" s="20"/>
      <c r="F285" s="20"/>
      <c r="G285" s="20"/>
      <c r="H285" s="20"/>
      <c r="I285" s="127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  <c r="AH285" s="20"/>
      <c r="AI285" s="20"/>
      <c r="AJ285" s="20"/>
      <c r="AK285" s="20"/>
      <c r="AL285" s="20"/>
      <c r="AM285" s="20"/>
      <c r="AN285" s="20"/>
      <c r="AO285" s="20"/>
      <c r="AP285" s="20"/>
      <c r="AQ285" s="20"/>
      <c r="AS285" s="20"/>
      <c r="AT285" s="20"/>
      <c r="AU285" s="20"/>
      <c r="AV285" s="20"/>
      <c r="AW285" s="20"/>
      <c r="AX285" s="20"/>
      <c r="AY285" s="20"/>
      <c r="AZ285" s="20"/>
    </row>
    <row r="286" ht="15.75" customHeight="1">
      <c r="A286" s="20"/>
      <c r="B286" s="20"/>
      <c r="C286" s="20"/>
      <c r="D286" s="20"/>
      <c r="E286" s="20"/>
      <c r="F286" s="20"/>
      <c r="G286" s="20"/>
      <c r="H286" s="20"/>
      <c r="I286" s="127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  <c r="AH286" s="20"/>
      <c r="AI286" s="20"/>
      <c r="AJ286" s="20"/>
      <c r="AK286" s="20"/>
      <c r="AL286" s="20"/>
      <c r="AM286" s="20"/>
      <c r="AN286" s="20"/>
      <c r="AO286" s="20"/>
      <c r="AP286" s="20"/>
      <c r="AQ286" s="20"/>
      <c r="AS286" s="20"/>
      <c r="AT286" s="20"/>
      <c r="AU286" s="20"/>
      <c r="AV286" s="20"/>
      <c r="AW286" s="20"/>
      <c r="AX286" s="20"/>
      <c r="AY286" s="20"/>
      <c r="AZ286" s="20"/>
    </row>
    <row r="287" ht="15.75" customHeight="1">
      <c r="A287" s="20"/>
      <c r="B287" s="20"/>
      <c r="C287" s="20"/>
      <c r="D287" s="20"/>
      <c r="E287" s="20"/>
      <c r="F287" s="20"/>
      <c r="G287" s="20"/>
      <c r="H287" s="20"/>
      <c r="I287" s="127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  <c r="AQ287" s="20"/>
      <c r="AS287" s="20"/>
      <c r="AT287" s="20"/>
      <c r="AU287" s="20"/>
      <c r="AV287" s="20"/>
      <c r="AW287" s="20"/>
      <c r="AX287" s="20"/>
      <c r="AY287" s="20"/>
      <c r="AZ287" s="20"/>
    </row>
    <row r="288" ht="15.75" customHeight="1">
      <c r="A288" s="20"/>
      <c r="B288" s="20"/>
      <c r="C288" s="20"/>
      <c r="D288" s="20"/>
      <c r="E288" s="20"/>
      <c r="F288" s="20"/>
      <c r="G288" s="20"/>
      <c r="H288" s="20"/>
      <c r="I288" s="127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AK288" s="20"/>
      <c r="AL288" s="20"/>
      <c r="AM288" s="20"/>
      <c r="AN288" s="20"/>
      <c r="AO288" s="20"/>
      <c r="AP288" s="20"/>
      <c r="AQ288" s="20"/>
      <c r="AS288" s="20"/>
      <c r="AT288" s="20"/>
      <c r="AU288" s="20"/>
      <c r="AV288" s="20"/>
      <c r="AW288" s="20"/>
      <c r="AX288" s="20"/>
      <c r="AY288" s="20"/>
      <c r="AZ288" s="20"/>
    </row>
    <row r="289" ht="15.75" customHeight="1">
      <c r="A289" s="20"/>
      <c r="B289" s="20"/>
      <c r="C289" s="20"/>
      <c r="D289" s="20"/>
      <c r="E289" s="20"/>
      <c r="F289" s="20"/>
      <c r="G289" s="20"/>
      <c r="H289" s="20"/>
      <c r="I289" s="127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  <c r="AH289" s="20"/>
      <c r="AI289" s="20"/>
      <c r="AJ289" s="20"/>
      <c r="AK289" s="20"/>
      <c r="AL289" s="20"/>
      <c r="AM289" s="20"/>
      <c r="AN289" s="20"/>
      <c r="AO289" s="20"/>
      <c r="AP289" s="20"/>
      <c r="AQ289" s="20"/>
      <c r="AS289" s="20"/>
      <c r="AT289" s="20"/>
      <c r="AU289" s="20"/>
      <c r="AV289" s="20"/>
      <c r="AW289" s="20"/>
      <c r="AX289" s="20"/>
      <c r="AY289" s="20"/>
      <c r="AZ289" s="20"/>
    </row>
    <row r="290" ht="15.75" customHeight="1">
      <c r="A290" s="20"/>
      <c r="B290" s="20"/>
      <c r="C290" s="20"/>
      <c r="D290" s="20"/>
      <c r="E290" s="20"/>
      <c r="F290" s="20"/>
      <c r="G290" s="20"/>
      <c r="H290" s="20"/>
      <c r="I290" s="127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  <c r="AH290" s="20"/>
      <c r="AI290" s="20"/>
      <c r="AJ290" s="20"/>
      <c r="AK290" s="20"/>
      <c r="AL290" s="20"/>
      <c r="AM290" s="20"/>
      <c r="AN290" s="20"/>
      <c r="AO290" s="20"/>
      <c r="AP290" s="20"/>
      <c r="AQ290" s="20"/>
      <c r="AS290" s="20"/>
      <c r="AT290" s="20"/>
      <c r="AU290" s="20"/>
      <c r="AV290" s="20"/>
      <c r="AW290" s="20"/>
      <c r="AX290" s="20"/>
      <c r="AY290" s="20"/>
      <c r="AZ290" s="20"/>
    </row>
    <row r="291" ht="15.75" customHeight="1">
      <c r="A291" s="20"/>
      <c r="B291" s="20"/>
      <c r="C291" s="20"/>
      <c r="D291" s="20"/>
      <c r="E291" s="20"/>
      <c r="F291" s="20"/>
      <c r="G291" s="20"/>
      <c r="H291" s="20"/>
      <c r="I291" s="127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  <c r="AH291" s="20"/>
      <c r="AI291" s="20"/>
      <c r="AJ291" s="20"/>
      <c r="AK291" s="20"/>
      <c r="AL291" s="20"/>
      <c r="AM291" s="20"/>
      <c r="AN291" s="20"/>
      <c r="AO291" s="20"/>
      <c r="AP291" s="20"/>
      <c r="AQ291" s="20"/>
      <c r="AS291" s="20"/>
      <c r="AT291" s="20"/>
      <c r="AU291" s="20"/>
      <c r="AV291" s="20"/>
      <c r="AW291" s="20"/>
      <c r="AX291" s="20"/>
      <c r="AY291" s="20"/>
      <c r="AZ291" s="20"/>
    </row>
    <row r="292" ht="15.75" customHeight="1">
      <c r="A292" s="20"/>
      <c r="B292" s="20"/>
      <c r="C292" s="20"/>
      <c r="D292" s="20"/>
      <c r="E292" s="20"/>
      <c r="F292" s="20"/>
      <c r="G292" s="20"/>
      <c r="H292" s="20"/>
      <c r="I292" s="127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  <c r="AH292" s="20"/>
      <c r="AI292" s="20"/>
      <c r="AJ292" s="20"/>
      <c r="AK292" s="20"/>
      <c r="AL292" s="20"/>
      <c r="AM292" s="20"/>
      <c r="AN292" s="20"/>
      <c r="AO292" s="20"/>
      <c r="AP292" s="20"/>
      <c r="AQ292" s="20"/>
      <c r="AS292" s="20"/>
      <c r="AT292" s="20"/>
      <c r="AU292" s="20"/>
      <c r="AV292" s="20"/>
      <c r="AW292" s="20"/>
      <c r="AX292" s="20"/>
      <c r="AY292" s="20"/>
      <c r="AZ292" s="20"/>
    </row>
    <row r="293" ht="15.75" customHeight="1">
      <c r="A293" s="20"/>
      <c r="B293" s="20"/>
      <c r="C293" s="20"/>
      <c r="D293" s="20"/>
      <c r="E293" s="20"/>
      <c r="F293" s="20"/>
      <c r="G293" s="20"/>
      <c r="H293" s="20"/>
      <c r="I293" s="127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  <c r="AQ293" s="20"/>
      <c r="AS293" s="20"/>
      <c r="AT293" s="20"/>
      <c r="AU293" s="20"/>
      <c r="AV293" s="20"/>
      <c r="AW293" s="20"/>
      <c r="AX293" s="20"/>
      <c r="AY293" s="20"/>
      <c r="AZ293" s="20"/>
    </row>
    <row r="294" ht="15.75" customHeight="1">
      <c r="A294" s="20"/>
      <c r="B294" s="20"/>
      <c r="C294" s="20"/>
      <c r="D294" s="20"/>
      <c r="E294" s="20"/>
      <c r="F294" s="20"/>
      <c r="G294" s="20"/>
      <c r="H294" s="20"/>
      <c r="I294" s="127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  <c r="AQ294" s="20"/>
      <c r="AS294" s="20"/>
      <c r="AT294" s="20"/>
      <c r="AU294" s="20"/>
      <c r="AV294" s="20"/>
      <c r="AW294" s="20"/>
      <c r="AX294" s="20"/>
      <c r="AY294" s="20"/>
      <c r="AZ294" s="20"/>
    </row>
    <row r="295" ht="15.75" customHeight="1">
      <c r="A295" s="20"/>
      <c r="B295" s="20"/>
      <c r="C295" s="20"/>
      <c r="D295" s="20"/>
      <c r="E295" s="20"/>
      <c r="F295" s="20"/>
      <c r="G295" s="20"/>
      <c r="H295" s="20"/>
      <c r="I295" s="127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  <c r="AH295" s="20"/>
      <c r="AI295" s="20"/>
      <c r="AJ295" s="20"/>
      <c r="AK295" s="20"/>
      <c r="AL295" s="20"/>
      <c r="AM295" s="20"/>
      <c r="AN295" s="20"/>
      <c r="AO295" s="20"/>
      <c r="AP295" s="20"/>
      <c r="AQ295" s="20"/>
      <c r="AS295" s="20"/>
      <c r="AT295" s="20"/>
      <c r="AU295" s="20"/>
      <c r="AV295" s="20"/>
      <c r="AW295" s="20"/>
      <c r="AX295" s="20"/>
      <c r="AY295" s="20"/>
      <c r="AZ295" s="20"/>
    </row>
    <row r="296" ht="15.75" customHeight="1">
      <c r="A296" s="20"/>
      <c r="B296" s="20"/>
      <c r="C296" s="20"/>
      <c r="D296" s="20"/>
      <c r="E296" s="20"/>
      <c r="F296" s="20"/>
      <c r="G296" s="20"/>
      <c r="H296" s="20"/>
      <c r="I296" s="127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  <c r="AH296" s="20"/>
      <c r="AI296" s="20"/>
      <c r="AJ296" s="20"/>
      <c r="AK296" s="20"/>
      <c r="AL296" s="20"/>
      <c r="AM296" s="20"/>
      <c r="AN296" s="20"/>
      <c r="AO296" s="20"/>
      <c r="AP296" s="20"/>
      <c r="AQ296" s="20"/>
      <c r="AS296" s="20"/>
      <c r="AT296" s="20"/>
      <c r="AU296" s="20"/>
      <c r="AV296" s="20"/>
      <c r="AW296" s="20"/>
      <c r="AX296" s="20"/>
      <c r="AY296" s="20"/>
      <c r="AZ296" s="20"/>
    </row>
    <row r="297" ht="15.75" customHeight="1">
      <c r="A297" s="20"/>
      <c r="B297" s="20"/>
      <c r="C297" s="20"/>
      <c r="D297" s="20"/>
      <c r="E297" s="20"/>
      <c r="F297" s="20"/>
      <c r="G297" s="20"/>
      <c r="H297" s="20"/>
      <c r="I297" s="127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  <c r="AH297" s="20"/>
      <c r="AI297" s="20"/>
      <c r="AJ297" s="20"/>
      <c r="AK297" s="20"/>
      <c r="AL297" s="20"/>
      <c r="AM297" s="20"/>
      <c r="AN297" s="20"/>
      <c r="AO297" s="20"/>
      <c r="AP297" s="20"/>
      <c r="AQ297" s="20"/>
      <c r="AS297" s="20"/>
      <c r="AT297" s="20"/>
      <c r="AU297" s="20"/>
      <c r="AV297" s="20"/>
      <c r="AW297" s="20"/>
      <c r="AX297" s="20"/>
      <c r="AY297" s="20"/>
      <c r="AZ297" s="20"/>
    </row>
    <row r="298" ht="15.75" customHeight="1">
      <c r="A298" s="20"/>
      <c r="B298" s="20"/>
      <c r="C298" s="20"/>
      <c r="D298" s="20"/>
      <c r="E298" s="20"/>
      <c r="F298" s="20"/>
      <c r="G298" s="20"/>
      <c r="H298" s="20"/>
      <c r="I298" s="127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  <c r="AH298" s="20"/>
      <c r="AI298" s="20"/>
      <c r="AJ298" s="20"/>
      <c r="AK298" s="20"/>
      <c r="AL298" s="20"/>
      <c r="AM298" s="20"/>
      <c r="AN298" s="20"/>
      <c r="AO298" s="20"/>
      <c r="AP298" s="20"/>
      <c r="AQ298" s="20"/>
      <c r="AS298" s="20"/>
      <c r="AT298" s="20"/>
      <c r="AU298" s="20"/>
      <c r="AV298" s="20"/>
      <c r="AW298" s="20"/>
      <c r="AX298" s="20"/>
      <c r="AY298" s="20"/>
      <c r="AZ298" s="20"/>
    </row>
    <row r="299" ht="15.75" customHeight="1">
      <c r="A299" s="20"/>
      <c r="B299" s="20"/>
      <c r="C299" s="20"/>
      <c r="D299" s="20"/>
      <c r="E299" s="20"/>
      <c r="F299" s="20"/>
      <c r="G299" s="20"/>
      <c r="H299" s="20"/>
      <c r="I299" s="127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  <c r="AH299" s="20"/>
      <c r="AI299" s="20"/>
      <c r="AJ299" s="20"/>
      <c r="AK299" s="20"/>
      <c r="AL299" s="20"/>
      <c r="AM299" s="20"/>
      <c r="AN299" s="20"/>
      <c r="AO299" s="20"/>
      <c r="AP299" s="20"/>
      <c r="AQ299" s="20"/>
      <c r="AS299" s="20"/>
      <c r="AT299" s="20"/>
      <c r="AU299" s="20"/>
      <c r="AV299" s="20"/>
      <c r="AW299" s="20"/>
      <c r="AX299" s="20"/>
      <c r="AY299" s="20"/>
      <c r="AZ299" s="20"/>
    </row>
    <row r="300" ht="15.75" customHeight="1">
      <c r="A300" s="20"/>
      <c r="B300" s="20"/>
      <c r="C300" s="20"/>
      <c r="D300" s="20"/>
      <c r="E300" s="20"/>
      <c r="F300" s="20"/>
      <c r="G300" s="20"/>
      <c r="H300" s="20"/>
      <c r="I300" s="127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  <c r="AH300" s="20"/>
      <c r="AI300" s="20"/>
      <c r="AJ300" s="20"/>
      <c r="AK300" s="20"/>
      <c r="AL300" s="20"/>
      <c r="AM300" s="20"/>
      <c r="AN300" s="20"/>
      <c r="AO300" s="20"/>
      <c r="AP300" s="20"/>
      <c r="AQ300" s="20"/>
      <c r="AS300" s="20"/>
      <c r="AT300" s="20"/>
      <c r="AU300" s="20"/>
      <c r="AV300" s="20"/>
      <c r="AW300" s="20"/>
      <c r="AX300" s="20"/>
      <c r="AY300" s="20"/>
      <c r="AZ300" s="20"/>
    </row>
    <row r="301" ht="15.75" customHeight="1">
      <c r="A301" s="20"/>
      <c r="B301" s="20"/>
      <c r="C301" s="20"/>
      <c r="D301" s="20"/>
      <c r="E301" s="20"/>
      <c r="F301" s="20"/>
      <c r="G301" s="20"/>
      <c r="H301" s="20"/>
      <c r="I301" s="127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  <c r="AH301" s="20"/>
      <c r="AI301" s="20"/>
      <c r="AJ301" s="20"/>
      <c r="AK301" s="20"/>
      <c r="AL301" s="20"/>
      <c r="AM301" s="20"/>
      <c r="AN301" s="20"/>
      <c r="AO301" s="20"/>
      <c r="AP301" s="20"/>
      <c r="AQ301" s="20"/>
      <c r="AS301" s="20"/>
      <c r="AT301" s="20"/>
      <c r="AU301" s="20"/>
      <c r="AV301" s="20"/>
      <c r="AW301" s="20"/>
      <c r="AX301" s="20"/>
      <c r="AY301" s="20"/>
      <c r="AZ301" s="20"/>
    </row>
    <row r="302" ht="15.75" customHeight="1">
      <c r="A302" s="20"/>
      <c r="B302" s="20"/>
      <c r="C302" s="20"/>
      <c r="D302" s="20"/>
      <c r="E302" s="20"/>
      <c r="F302" s="20"/>
      <c r="G302" s="20"/>
      <c r="H302" s="20"/>
      <c r="I302" s="127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  <c r="AH302" s="20"/>
      <c r="AI302" s="20"/>
      <c r="AJ302" s="20"/>
      <c r="AK302" s="20"/>
      <c r="AL302" s="20"/>
      <c r="AM302" s="20"/>
      <c r="AN302" s="20"/>
      <c r="AO302" s="20"/>
      <c r="AP302" s="20"/>
      <c r="AQ302" s="20"/>
      <c r="AS302" s="20"/>
      <c r="AT302" s="20"/>
      <c r="AU302" s="20"/>
      <c r="AV302" s="20"/>
      <c r="AW302" s="20"/>
      <c r="AX302" s="20"/>
      <c r="AY302" s="20"/>
      <c r="AZ302" s="20"/>
    </row>
    <row r="303" ht="15.75" customHeight="1">
      <c r="A303" s="20"/>
      <c r="B303" s="20"/>
      <c r="C303" s="20"/>
      <c r="D303" s="20"/>
      <c r="E303" s="20"/>
      <c r="F303" s="20"/>
      <c r="G303" s="20"/>
      <c r="H303" s="20"/>
      <c r="I303" s="127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  <c r="AH303" s="20"/>
      <c r="AI303" s="20"/>
      <c r="AJ303" s="20"/>
      <c r="AK303" s="20"/>
      <c r="AL303" s="20"/>
      <c r="AM303" s="20"/>
      <c r="AN303" s="20"/>
      <c r="AO303" s="20"/>
      <c r="AP303" s="20"/>
      <c r="AQ303" s="20"/>
      <c r="AS303" s="20"/>
      <c r="AT303" s="20"/>
      <c r="AU303" s="20"/>
      <c r="AV303" s="20"/>
      <c r="AW303" s="20"/>
      <c r="AX303" s="20"/>
      <c r="AY303" s="20"/>
      <c r="AZ303" s="20"/>
    </row>
    <row r="304" ht="15.75" customHeight="1">
      <c r="A304" s="20"/>
      <c r="B304" s="20"/>
      <c r="C304" s="20"/>
      <c r="D304" s="20"/>
      <c r="E304" s="20"/>
      <c r="F304" s="20"/>
      <c r="G304" s="20"/>
      <c r="H304" s="20"/>
      <c r="I304" s="127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  <c r="AH304" s="20"/>
      <c r="AI304" s="20"/>
      <c r="AJ304" s="20"/>
      <c r="AK304" s="20"/>
      <c r="AL304" s="20"/>
      <c r="AM304" s="20"/>
      <c r="AN304" s="20"/>
      <c r="AO304" s="20"/>
      <c r="AP304" s="20"/>
      <c r="AQ304" s="20"/>
      <c r="AS304" s="20"/>
      <c r="AT304" s="20"/>
      <c r="AU304" s="20"/>
      <c r="AV304" s="20"/>
      <c r="AW304" s="20"/>
      <c r="AX304" s="20"/>
      <c r="AY304" s="20"/>
      <c r="AZ304" s="20"/>
    </row>
    <row r="305" ht="15.75" customHeight="1">
      <c r="A305" s="20"/>
      <c r="B305" s="20"/>
      <c r="C305" s="20"/>
      <c r="D305" s="20"/>
      <c r="E305" s="20"/>
      <c r="F305" s="20"/>
      <c r="G305" s="20"/>
      <c r="H305" s="20"/>
      <c r="I305" s="127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  <c r="AQ305" s="20"/>
      <c r="AS305" s="20"/>
      <c r="AT305" s="20"/>
      <c r="AU305" s="20"/>
      <c r="AV305" s="20"/>
      <c r="AW305" s="20"/>
      <c r="AX305" s="20"/>
      <c r="AY305" s="20"/>
      <c r="AZ305" s="20"/>
    </row>
    <row r="306" ht="15.75" customHeight="1">
      <c r="A306" s="20"/>
      <c r="B306" s="20"/>
      <c r="C306" s="20"/>
      <c r="D306" s="20"/>
      <c r="E306" s="20"/>
      <c r="F306" s="20"/>
      <c r="G306" s="20"/>
      <c r="H306" s="20"/>
      <c r="I306" s="127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  <c r="AH306" s="20"/>
      <c r="AI306" s="20"/>
      <c r="AJ306" s="20"/>
      <c r="AK306" s="20"/>
      <c r="AL306" s="20"/>
      <c r="AM306" s="20"/>
      <c r="AN306" s="20"/>
      <c r="AO306" s="20"/>
      <c r="AP306" s="20"/>
      <c r="AQ306" s="20"/>
      <c r="AS306" s="20"/>
      <c r="AT306" s="20"/>
      <c r="AU306" s="20"/>
      <c r="AV306" s="20"/>
      <c r="AW306" s="20"/>
      <c r="AX306" s="20"/>
      <c r="AY306" s="20"/>
      <c r="AZ306" s="20"/>
    </row>
    <row r="307" ht="15.75" customHeight="1">
      <c r="A307" s="20"/>
      <c r="B307" s="20"/>
      <c r="C307" s="20"/>
      <c r="D307" s="20"/>
      <c r="E307" s="20"/>
      <c r="F307" s="20"/>
      <c r="G307" s="20"/>
      <c r="H307" s="20"/>
      <c r="I307" s="127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  <c r="AH307" s="20"/>
      <c r="AI307" s="20"/>
      <c r="AJ307" s="20"/>
      <c r="AK307" s="20"/>
      <c r="AL307" s="20"/>
      <c r="AM307" s="20"/>
      <c r="AN307" s="20"/>
      <c r="AO307" s="20"/>
      <c r="AP307" s="20"/>
      <c r="AQ307" s="20"/>
      <c r="AS307" s="20"/>
      <c r="AT307" s="20"/>
      <c r="AU307" s="20"/>
      <c r="AV307" s="20"/>
      <c r="AW307" s="20"/>
      <c r="AX307" s="20"/>
      <c r="AY307" s="20"/>
      <c r="AZ307" s="20"/>
    </row>
    <row r="308" ht="15.75" customHeight="1">
      <c r="A308" s="20"/>
      <c r="B308" s="20"/>
      <c r="C308" s="20"/>
      <c r="D308" s="20"/>
      <c r="E308" s="20"/>
      <c r="F308" s="20"/>
      <c r="G308" s="20"/>
      <c r="H308" s="20"/>
      <c r="I308" s="127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  <c r="AH308" s="20"/>
      <c r="AI308" s="20"/>
      <c r="AJ308" s="20"/>
      <c r="AK308" s="20"/>
      <c r="AL308" s="20"/>
      <c r="AM308" s="20"/>
      <c r="AN308" s="20"/>
      <c r="AO308" s="20"/>
      <c r="AP308" s="20"/>
      <c r="AQ308" s="20"/>
      <c r="AS308" s="20"/>
      <c r="AT308" s="20"/>
      <c r="AU308" s="20"/>
      <c r="AV308" s="20"/>
      <c r="AW308" s="20"/>
      <c r="AX308" s="20"/>
      <c r="AY308" s="20"/>
      <c r="AZ308" s="20"/>
    </row>
    <row r="309" ht="15.75" customHeight="1">
      <c r="A309" s="20"/>
      <c r="B309" s="20"/>
      <c r="C309" s="20"/>
      <c r="D309" s="20"/>
      <c r="E309" s="20"/>
      <c r="F309" s="20"/>
      <c r="G309" s="20"/>
      <c r="H309" s="20"/>
      <c r="I309" s="127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  <c r="AQ309" s="20"/>
      <c r="AS309" s="20"/>
      <c r="AT309" s="20"/>
      <c r="AU309" s="20"/>
      <c r="AV309" s="20"/>
      <c r="AW309" s="20"/>
      <c r="AX309" s="20"/>
      <c r="AY309" s="20"/>
      <c r="AZ309" s="20"/>
    </row>
    <row r="310" ht="15.75" customHeight="1">
      <c r="A310" s="20"/>
      <c r="B310" s="20"/>
      <c r="C310" s="20"/>
      <c r="D310" s="20"/>
      <c r="E310" s="20"/>
      <c r="F310" s="20"/>
      <c r="G310" s="20"/>
      <c r="H310" s="20"/>
      <c r="I310" s="127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  <c r="AQ310" s="20"/>
      <c r="AS310" s="20"/>
      <c r="AT310" s="20"/>
      <c r="AU310" s="20"/>
      <c r="AV310" s="20"/>
      <c r="AW310" s="20"/>
      <c r="AX310" s="20"/>
      <c r="AY310" s="20"/>
      <c r="AZ310" s="20"/>
    </row>
    <row r="311" ht="15.75" customHeight="1">
      <c r="A311" s="20"/>
      <c r="B311" s="20"/>
      <c r="C311" s="20"/>
      <c r="D311" s="20"/>
      <c r="E311" s="20"/>
      <c r="F311" s="20"/>
      <c r="G311" s="20"/>
      <c r="H311" s="20"/>
      <c r="I311" s="127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  <c r="AH311" s="20"/>
      <c r="AI311" s="20"/>
      <c r="AJ311" s="20"/>
      <c r="AK311" s="20"/>
      <c r="AL311" s="20"/>
      <c r="AM311" s="20"/>
      <c r="AN311" s="20"/>
      <c r="AO311" s="20"/>
      <c r="AP311" s="20"/>
      <c r="AQ311" s="20"/>
      <c r="AS311" s="20"/>
      <c r="AT311" s="20"/>
      <c r="AU311" s="20"/>
      <c r="AV311" s="20"/>
      <c r="AW311" s="20"/>
      <c r="AX311" s="20"/>
      <c r="AY311" s="20"/>
      <c r="AZ311" s="20"/>
    </row>
    <row r="312" ht="15.75" customHeight="1">
      <c r="A312" s="20"/>
      <c r="B312" s="20"/>
      <c r="C312" s="20"/>
      <c r="D312" s="20"/>
      <c r="E312" s="20"/>
      <c r="F312" s="20"/>
      <c r="G312" s="20"/>
      <c r="H312" s="20"/>
      <c r="I312" s="127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  <c r="AQ312" s="20"/>
      <c r="AS312" s="20"/>
      <c r="AT312" s="20"/>
      <c r="AU312" s="20"/>
      <c r="AV312" s="20"/>
      <c r="AW312" s="20"/>
      <c r="AX312" s="20"/>
      <c r="AY312" s="20"/>
      <c r="AZ312" s="20"/>
    </row>
    <row r="313" ht="15.75" customHeight="1">
      <c r="A313" s="20"/>
      <c r="B313" s="20"/>
      <c r="C313" s="20"/>
      <c r="D313" s="20"/>
      <c r="E313" s="20"/>
      <c r="F313" s="20"/>
      <c r="G313" s="20"/>
      <c r="H313" s="20"/>
      <c r="I313" s="127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  <c r="AH313" s="20"/>
      <c r="AI313" s="20"/>
      <c r="AJ313" s="20"/>
      <c r="AK313" s="20"/>
      <c r="AL313" s="20"/>
      <c r="AM313" s="20"/>
      <c r="AN313" s="20"/>
      <c r="AO313" s="20"/>
      <c r="AP313" s="20"/>
      <c r="AQ313" s="20"/>
      <c r="AS313" s="20"/>
      <c r="AT313" s="20"/>
      <c r="AU313" s="20"/>
      <c r="AV313" s="20"/>
      <c r="AW313" s="20"/>
      <c r="AX313" s="20"/>
      <c r="AY313" s="20"/>
      <c r="AZ313" s="20"/>
    </row>
    <row r="314" ht="15.75" customHeight="1">
      <c r="A314" s="20"/>
      <c r="B314" s="20"/>
      <c r="C314" s="20"/>
      <c r="D314" s="20"/>
      <c r="E314" s="20"/>
      <c r="F314" s="20"/>
      <c r="G314" s="20"/>
      <c r="H314" s="20"/>
      <c r="I314" s="127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  <c r="AH314" s="20"/>
      <c r="AI314" s="20"/>
      <c r="AJ314" s="20"/>
      <c r="AK314" s="20"/>
      <c r="AL314" s="20"/>
      <c r="AM314" s="20"/>
      <c r="AN314" s="20"/>
      <c r="AO314" s="20"/>
      <c r="AP314" s="20"/>
      <c r="AQ314" s="20"/>
      <c r="AS314" s="20"/>
      <c r="AT314" s="20"/>
      <c r="AU314" s="20"/>
      <c r="AV314" s="20"/>
      <c r="AW314" s="20"/>
      <c r="AX314" s="20"/>
      <c r="AY314" s="20"/>
      <c r="AZ314" s="20"/>
    </row>
    <row r="315" ht="15.75" customHeight="1">
      <c r="A315" s="20"/>
      <c r="B315" s="20"/>
      <c r="C315" s="20"/>
      <c r="D315" s="20"/>
      <c r="E315" s="20"/>
      <c r="F315" s="20"/>
      <c r="G315" s="20"/>
      <c r="H315" s="20"/>
      <c r="I315" s="127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  <c r="AH315" s="20"/>
      <c r="AI315" s="20"/>
      <c r="AJ315" s="20"/>
      <c r="AK315" s="20"/>
      <c r="AL315" s="20"/>
      <c r="AM315" s="20"/>
      <c r="AN315" s="20"/>
      <c r="AO315" s="20"/>
      <c r="AP315" s="20"/>
      <c r="AQ315" s="20"/>
      <c r="AS315" s="20"/>
      <c r="AT315" s="20"/>
      <c r="AU315" s="20"/>
      <c r="AV315" s="20"/>
      <c r="AW315" s="20"/>
      <c r="AX315" s="20"/>
      <c r="AY315" s="20"/>
      <c r="AZ315" s="20"/>
    </row>
    <row r="316" ht="15.75" customHeight="1">
      <c r="A316" s="20"/>
      <c r="B316" s="20"/>
      <c r="C316" s="20"/>
      <c r="D316" s="20"/>
      <c r="E316" s="20"/>
      <c r="F316" s="20"/>
      <c r="G316" s="20"/>
      <c r="H316" s="20"/>
      <c r="I316" s="127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  <c r="AH316" s="20"/>
      <c r="AI316" s="20"/>
      <c r="AJ316" s="20"/>
      <c r="AK316" s="20"/>
      <c r="AL316" s="20"/>
      <c r="AM316" s="20"/>
      <c r="AN316" s="20"/>
      <c r="AO316" s="20"/>
      <c r="AP316" s="20"/>
      <c r="AQ316" s="20"/>
      <c r="AS316" s="20"/>
      <c r="AT316" s="20"/>
      <c r="AU316" s="20"/>
      <c r="AV316" s="20"/>
      <c r="AW316" s="20"/>
      <c r="AX316" s="20"/>
      <c r="AY316" s="20"/>
      <c r="AZ316" s="20"/>
    </row>
    <row r="317" ht="15.75" customHeight="1">
      <c r="A317" s="20"/>
      <c r="B317" s="20"/>
      <c r="C317" s="20"/>
      <c r="D317" s="20"/>
      <c r="E317" s="20"/>
      <c r="F317" s="20"/>
      <c r="G317" s="20"/>
      <c r="H317" s="20"/>
      <c r="I317" s="127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  <c r="AH317" s="20"/>
      <c r="AI317" s="20"/>
      <c r="AJ317" s="20"/>
      <c r="AK317" s="20"/>
      <c r="AL317" s="20"/>
      <c r="AM317" s="20"/>
      <c r="AN317" s="20"/>
      <c r="AO317" s="20"/>
      <c r="AP317" s="20"/>
      <c r="AQ317" s="20"/>
      <c r="AS317" s="20"/>
      <c r="AT317" s="20"/>
      <c r="AU317" s="20"/>
      <c r="AV317" s="20"/>
      <c r="AW317" s="20"/>
      <c r="AX317" s="20"/>
      <c r="AY317" s="20"/>
      <c r="AZ317" s="20"/>
    </row>
    <row r="318" ht="15.75" customHeight="1">
      <c r="A318" s="20"/>
      <c r="B318" s="20"/>
      <c r="C318" s="20"/>
      <c r="D318" s="20"/>
      <c r="E318" s="20"/>
      <c r="F318" s="20"/>
      <c r="G318" s="20"/>
      <c r="H318" s="20"/>
      <c r="I318" s="127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  <c r="AH318" s="20"/>
      <c r="AI318" s="20"/>
      <c r="AJ318" s="20"/>
      <c r="AK318" s="20"/>
      <c r="AL318" s="20"/>
      <c r="AM318" s="20"/>
      <c r="AN318" s="20"/>
      <c r="AO318" s="20"/>
      <c r="AP318" s="20"/>
      <c r="AQ318" s="20"/>
      <c r="AS318" s="20"/>
      <c r="AT318" s="20"/>
      <c r="AU318" s="20"/>
      <c r="AV318" s="20"/>
      <c r="AW318" s="20"/>
      <c r="AX318" s="20"/>
      <c r="AY318" s="20"/>
      <c r="AZ318" s="20"/>
    </row>
    <row r="319" ht="15.75" customHeight="1">
      <c r="A319" s="20"/>
      <c r="B319" s="20"/>
      <c r="C319" s="20"/>
      <c r="D319" s="20"/>
      <c r="E319" s="20"/>
      <c r="F319" s="20"/>
      <c r="G319" s="20"/>
      <c r="H319" s="20"/>
      <c r="I319" s="127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  <c r="AH319" s="20"/>
      <c r="AI319" s="20"/>
      <c r="AJ319" s="20"/>
      <c r="AK319" s="20"/>
      <c r="AL319" s="20"/>
      <c r="AM319" s="20"/>
      <c r="AN319" s="20"/>
      <c r="AO319" s="20"/>
      <c r="AP319" s="20"/>
      <c r="AQ319" s="20"/>
      <c r="AS319" s="20"/>
      <c r="AT319" s="20"/>
      <c r="AU319" s="20"/>
      <c r="AV319" s="20"/>
      <c r="AW319" s="20"/>
      <c r="AX319" s="20"/>
      <c r="AY319" s="20"/>
      <c r="AZ319" s="20"/>
    </row>
    <row r="320" ht="15.75" customHeight="1">
      <c r="A320" s="20"/>
      <c r="B320" s="20"/>
      <c r="C320" s="20"/>
      <c r="D320" s="20"/>
      <c r="E320" s="20"/>
      <c r="F320" s="20"/>
      <c r="G320" s="20"/>
      <c r="H320" s="20"/>
      <c r="I320" s="127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  <c r="AH320" s="20"/>
      <c r="AI320" s="20"/>
      <c r="AJ320" s="20"/>
      <c r="AK320" s="20"/>
      <c r="AL320" s="20"/>
      <c r="AM320" s="20"/>
      <c r="AN320" s="20"/>
      <c r="AO320" s="20"/>
      <c r="AP320" s="20"/>
      <c r="AQ320" s="20"/>
      <c r="AS320" s="20"/>
      <c r="AT320" s="20"/>
      <c r="AU320" s="20"/>
      <c r="AV320" s="20"/>
      <c r="AW320" s="20"/>
      <c r="AX320" s="20"/>
      <c r="AY320" s="20"/>
      <c r="AZ320" s="20"/>
    </row>
    <row r="321" ht="15.75" customHeight="1">
      <c r="A321" s="20"/>
      <c r="B321" s="20"/>
      <c r="C321" s="20"/>
      <c r="D321" s="20"/>
      <c r="E321" s="20"/>
      <c r="F321" s="20"/>
      <c r="G321" s="20"/>
      <c r="H321" s="20"/>
      <c r="I321" s="127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  <c r="AH321" s="20"/>
      <c r="AI321" s="20"/>
      <c r="AJ321" s="20"/>
      <c r="AK321" s="20"/>
      <c r="AL321" s="20"/>
      <c r="AM321" s="20"/>
      <c r="AN321" s="20"/>
      <c r="AO321" s="20"/>
      <c r="AP321" s="20"/>
      <c r="AQ321" s="20"/>
      <c r="AS321" s="20"/>
      <c r="AT321" s="20"/>
      <c r="AU321" s="20"/>
      <c r="AV321" s="20"/>
      <c r="AW321" s="20"/>
      <c r="AX321" s="20"/>
      <c r="AY321" s="20"/>
      <c r="AZ321" s="20"/>
    </row>
    <row r="322" ht="15.75" customHeight="1">
      <c r="A322" s="20"/>
      <c r="B322" s="20"/>
      <c r="C322" s="20"/>
      <c r="D322" s="20"/>
      <c r="E322" s="20"/>
      <c r="F322" s="20"/>
      <c r="G322" s="20"/>
      <c r="H322" s="20"/>
      <c r="I322" s="127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  <c r="AH322" s="20"/>
      <c r="AI322" s="20"/>
      <c r="AJ322" s="20"/>
      <c r="AK322" s="20"/>
      <c r="AL322" s="20"/>
      <c r="AM322" s="20"/>
      <c r="AN322" s="20"/>
      <c r="AO322" s="20"/>
      <c r="AP322" s="20"/>
      <c r="AQ322" s="20"/>
      <c r="AS322" s="20"/>
      <c r="AT322" s="20"/>
      <c r="AU322" s="20"/>
      <c r="AV322" s="20"/>
      <c r="AW322" s="20"/>
      <c r="AX322" s="20"/>
      <c r="AY322" s="20"/>
      <c r="AZ322" s="20"/>
    </row>
    <row r="323" ht="15.75" customHeight="1">
      <c r="A323" s="20"/>
      <c r="B323" s="20"/>
      <c r="C323" s="20"/>
      <c r="D323" s="20"/>
      <c r="E323" s="20"/>
      <c r="F323" s="20"/>
      <c r="G323" s="20"/>
      <c r="H323" s="20"/>
      <c r="I323" s="127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  <c r="AH323" s="20"/>
      <c r="AI323" s="20"/>
      <c r="AJ323" s="20"/>
      <c r="AK323" s="20"/>
      <c r="AL323" s="20"/>
      <c r="AM323" s="20"/>
      <c r="AN323" s="20"/>
      <c r="AO323" s="20"/>
      <c r="AP323" s="20"/>
      <c r="AQ323" s="20"/>
      <c r="AS323" s="20"/>
      <c r="AT323" s="20"/>
      <c r="AU323" s="20"/>
      <c r="AV323" s="20"/>
      <c r="AW323" s="20"/>
      <c r="AX323" s="20"/>
      <c r="AY323" s="20"/>
      <c r="AZ323" s="20"/>
    </row>
    <row r="324" ht="15.75" customHeight="1">
      <c r="A324" s="20"/>
      <c r="B324" s="20"/>
      <c r="C324" s="20"/>
      <c r="D324" s="20"/>
      <c r="E324" s="20"/>
      <c r="F324" s="20"/>
      <c r="G324" s="20"/>
      <c r="H324" s="20"/>
      <c r="I324" s="127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  <c r="AH324" s="20"/>
      <c r="AI324" s="20"/>
      <c r="AJ324" s="20"/>
      <c r="AK324" s="20"/>
      <c r="AL324" s="20"/>
      <c r="AM324" s="20"/>
      <c r="AN324" s="20"/>
      <c r="AO324" s="20"/>
      <c r="AP324" s="20"/>
      <c r="AQ324" s="20"/>
      <c r="AS324" s="20"/>
      <c r="AT324" s="20"/>
      <c r="AU324" s="20"/>
      <c r="AV324" s="20"/>
      <c r="AW324" s="20"/>
      <c r="AX324" s="20"/>
      <c r="AY324" s="20"/>
      <c r="AZ324" s="20"/>
    </row>
    <row r="325" ht="15.75" customHeight="1">
      <c r="A325" s="20"/>
      <c r="B325" s="20"/>
      <c r="C325" s="20"/>
      <c r="D325" s="20"/>
      <c r="E325" s="20"/>
      <c r="F325" s="20"/>
      <c r="G325" s="20"/>
      <c r="H325" s="20"/>
      <c r="I325" s="127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  <c r="AH325" s="20"/>
      <c r="AI325" s="20"/>
      <c r="AJ325" s="20"/>
      <c r="AK325" s="20"/>
      <c r="AL325" s="20"/>
      <c r="AM325" s="20"/>
      <c r="AN325" s="20"/>
      <c r="AO325" s="20"/>
      <c r="AP325" s="20"/>
      <c r="AQ325" s="20"/>
      <c r="AS325" s="20"/>
      <c r="AT325" s="20"/>
      <c r="AU325" s="20"/>
      <c r="AV325" s="20"/>
      <c r="AW325" s="20"/>
      <c r="AX325" s="20"/>
      <c r="AY325" s="20"/>
      <c r="AZ325" s="20"/>
    </row>
    <row r="326" ht="15.75" customHeight="1">
      <c r="A326" s="20"/>
      <c r="B326" s="20"/>
      <c r="C326" s="20"/>
      <c r="D326" s="20"/>
      <c r="E326" s="20"/>
      <c r="F326" s="20"/>
      <c r="G326" s="20"/>
      <c r="H326" s="20"/>
      <c r="I326" s="127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  <c r="AH326" s="20"/>
      <c r="AI326" s="20"/>
      <c r="AJ326" s="20"/>
      <c r="AK326" s="20"/>
      <c r="AL326" s="20"/>
      <c r="AM326" s="20"/>
      <c r="AN326" s="20"/>
      <c r="AO326" s="20"/>
      <c r="AP326" s="20"/>
      <c r="AQ326" s="20"/>
      <c r="AS326" s="20"/>
      <c r="AT326" s="20"/>
      <c r="AU326" s="20"/>
      <c r="AV326" s="20"/>
      <c r="AW326" s="20"/>
      <c r="AX326" s="20"/>
      <c r="AY326" s="20"/>
      <c r="AZ326" s="20"/>
    </row>
    <row r="327" ht="15.75" customHeight="1">
      <c r="A327" s="20"/>
      <c r="B327" s="20"/>
      <c r="C327" s="20"/>
      <c r="D327" s="20"/>
      <c r="E327" s="20"/>
      <c r="F327" s="20"/>
      <c r="G327" s="20"/>
      <c r="H327" s="20"/>
      <c r="I327" s="127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  <c r="AH327" s="20"/>
      <c r="AI327" s="20"/>
      <c r="AJ327" s="20"/>
      <c r="AK327" s="20"/>
      <c r="AL327" s="20"/>
      <c r="AM327" s="20"/>
      <c r="AN327" s="20"/>
      <c r="AO327" s="20"/>
      <c r="AP327" s="20"/>
      <c r="AQ327" s="20"/>
      <c r="AS327" s="20"/>
      <c r="AT327" s="20"/>
      <c r="AU327" s="20"/>
      <c r="AV327" s="20"/>
      <c r="AW327" s="20"/>
      <c r="AX327" s="20"/>
      <c r="AY327" s="20"/>
      <c r="AZ327" s="20"/>
    </row>
    <row r="328" ht="15.75" customHeight="1">
      <c r="A328" s="20"/>
      <c r="B328" s="20"/>
      <c r="C328" s="20"/>
      <c r="D328" s="20"/>
      <c r="E328" s="20"/>
      <c r="F328" s="20"/>
      <c r="G328" s="20"/>
      <c r="H328" s="20"/>
      <c r="I328" s="127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  <c r="AH328" s="20"/>
      <c r="AI328" s="20"/>
      <c r="AJ328" s="20"/>
      <c r="AK328" s="20"/>
      <c r="AL328" s="20"/>
      <c r="AM328" s="20"/>
      <c r="AN328" s="20"/>
      <c r="AO328" s="20"/>
      <c r="AP328" s="20"/>
      <c r="AQ328" s="20"/>
      <c r="AS328" s="20"/>
      <c r="AT328" s="20"/>
      <c r="AU328" s="20"/>
      <c r="AV328" s="20"/>
      <c r="AW328" s="20"/>
      <c r="AX328" s="20"/>
      <c r="AY328" s="20"/>
      <c r="AZ328" s="20"/>
    </row>
    <row r="329" ht="15.75" customHeight="1">
      <c r="A329" s="20"/>
      <c r="B329" s="20"/>
      <c r="C329" s="20"/>
      <c r="D329" s="20"/>
      <c r="E329" s="20"/>
      <c r="F329" s="20"/>
      <c r="G329" s="20"/>
      <c r="H329" s="20"/>
      <c r="I329" s="127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  <c r="AH329" s="20"/>
      <c r="AI329" s="20"/>
      <c r="AJ329" s="20"/>
      <c r="AK329" s="20"/>
      <c r="AL329" s="20"/>
      <c r="AM329" s="20"/>
      <c r="AN329" s="20"/>
      <c r="AO329" s="20"/>
      <c r="AP329" s="20"/>
      <c r="AQ329" s="20"/>
      <c r="AS329" s="20"/>
      <c r="AT329" s="20"/>
      <c r="AU329" s="20"/>
      <c r="AV329" s="20"/>
      <c r="AW329" s="20"/>
      <c r="AX329" s="20"/>
      <c r="AY329" s="20"/>
      <c r="AZ329" s="20"/>
    </row>
    <row r="330" ht="15.75" customHeight="1">
      <c r="A330" s="20"/>
      <c r="B330" s="20"/>
      <c r="C330" s="20"/>
      <c r="D330" s="20"/>
      <c r="E330" s="20"/>
      <c r="F330" s="20"/>
      <c r="G330" s="20"/>
      <c r="H330" s="20"/>
      <c r="I330" s="127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  <c r="AH330" s="20"/>
      <c r="AI330" s="20"/>
      <c r="AJ330" s="20"/>
      <c r="AK330" s="20"/>
      <c r="AL330" s="20"/>
      <c r="AM330" s="20"/>
      <c r="AN330" s="20"/>
      <c r="AO330" s="20"/>
      <c r="AP330" s="20"/>
      <c r="AQ330" s="20"/>
      <c r="AS330" s="20"/>
      <c r="AT330" s="20"/>
      <c r="AU330" s="20"/>
      <c r="AV330" s="20"/>
      <c r="AW330" s="20"/>
      <c r="AX330" s="20"/>
      <c r="AY330" s="20"/>
      <c r="AZ330" s="20"/>
    </row>
    <row r="331" ht="15.75" customHeight="1">
      <c r="A331" s="20"/>
      <c r="B331" s="20"/>
      <c r="C331" s="20"/>
      <c r="D331" s="20"/>
      <c r="E331" s="20"/>
      <c r="F331" s="20"/>
      <c r="G331" s="20"/>
      <c r="H331" s="20"/>
      <c r="I331" s="127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  <c r="AH331" s="20"/>
      <c r="AI331" s="20"/>
      <c r="AJ331" s="20"/>
      <c r="AK331" s="20"/>
      <c r="AL331" s="20"/>
      <c r="AM331" s="20"/>
      <c r="AN331" s="20"/>
      <c r="AO331" s="20"/>
      <c r="AP331" s="20"/>
      <c r="AQ331" s="20"/>
      <c r="AS331" s="20"/>
      <c r="AT331" s="20"/>
      <c r="AU331" s="20"/>
      <c r="AV331" s="20"/>
      <c r="AW331" s="20"/>
      <c r="AX331" s="20"/>
      <c r="AY331" s="20"/>
      <c r="AZ331" s="20"/>
    </row>
    <row r="332" ht="15.75" customHeight="1">
      <c r="A332" s="20"/>
      <c r="B332" s="20"/>
      <c r="C332" s="20"/>
      <c r="D332" s="20"/>
      <c r="E332" s="20"/>
      <c r="F332" s="20"/>
      <c r="G332" s="20"/>
      <c r="H332" s="20"/>
      <c r="I332" s="127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  <c r="AH332" s="20"/>
      <c r="AI332" s="20"/>
      <c r="AJ332" s="20"/>
      <c r="AK332" s="20"/>
      <c r="AL332" s="20"/>
      <c r="AM332" s="20"/>
      <c r="AN332" s="20"/>
      <c r="AO332" s="20"/>
      <c r="AP332" s="20"/>
      <c r="AQ332" s="20"/>
      <c r="AS332" s="20"/>
      <c r="AT332" s="20"/>
      <c r="AU332" s="20"/>
      <c r="AV332" s="20"/>
      <c r="AW332" s="20"/>
      <c r="AX332" s="20"/>
      <c r="AY332" s="20"/>
      <c r="AZ332" s="20"/>
    </row>
    <row r="333" ht="15.75" customHeight="1">
      <c r="A333" s="20"/>
      <c r="B333" s="20"/>
      <c r="C333" s="20"/>
      <c r="D333" s="20"/>
      <c r="E333" s="20"/>
      <c r="F333" s="20"/>
      <c r="G333" s="20"/>
      <c r="H333" s="20"/>
      <c r="I333" s="127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  <c r="AH333" s="20"/>
      <c r="AI333" s="20"/>
      <c r="AJ333" s="20"/>
      <c r="AK333" s="20"/>
      <c r="AL333" s="20"/>
      <c r="AM333" s="20"/>
      <c r="AN333" s="20"/>
      <c r="AO333" s="20"/>
      <c r="AP333" s="20"/>
      <c r="AQ333" s="20"/>
      <c r="AS333" s="20"/>
      <c r="AT333" s="20"/>
      <c r="AU333" s="20"/>
      <c r="AV333" s="20"/>
      <c r="AW333" s="20"/>
      <c r="AX333" s="20"/>
      <c r="AY333" s="20"/>
      <c r="AZ333" s="20"/>
    </row>
    <row r="334" ht="15.75" customHeight="1">
      <c r="A334" s="20"/>
      <c r="B334" s="20"/>
      <c r="C334" s="20"/>
      <c r="D334" s="20"/>
      <c r="E334" s="20"/>
      <c r="F334" s="20"/>
      <c r="G334" s="20"/>
      <c r="H334" s="20"/>
      <c r="I334" s="127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  <c r="AH334" s="20"/>
      <c r="AI334" s="20"/>
      <c r="AJ334" s="20"/>
      <c r="AK334" s="20"/>
      <c r="AL334" s="20"/>
      <c r="AM334" s="20"/>
      <c r="AN334" s="20"/>
      <c r="AO334" s="20"/>
      <c r="AP334" s="20"/>
      <c r="AQ334" s="20"/>
      <c r="AS334" s="20"/>
      <c r="AT334" s="20"/>
      <c r="AU334" s="20"/>
      <c r="AV334" s="20"/>
      <c r="AW334" s="20"/>
      <c r="AX334" s="20"/>
      <c r="AY334" s="20"/>
      <c r="AZ334" s="20"/>
    </row>
    <row r="335" ht="15.75" customHeight="1">
      <c r="A335" s="20"/>
      <c r="B335" s="20"/>
      <c r="C335" s="20"/>
      <c r="D335" s="20"/>
      <c r="E335" s="20"/>
      <c r="F335" s="20"/>
      <c r="G335" s="20"/>
      <c r="H335" s="20"/>
      <c r="I335" s="127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  <c r="AH335" s="20"/>
      <c r="AI335" s="20"/>
      <c r="AJ335" s="20"/>
      <c r="AK335" s="20"/>
      <c r="AL335" s="20"/>
      <c r="AM335" s="20"/>
      <c r="AN335" s="20"/>
      <c r="AO335" s="20"/>
      <c r="AP335" s="20"/>
      <c r="AQ335" s="20"/>
      <c r="AS335" s="20"/>
      <c r="AT335" s="20"/>
      <c r="AU335" s="20"/>
      <c r="AV335" s="20"/>
      <c r="AW335" s="20"/>
      <c r="AX335" s="20"/>
      <c r="AY335" s="20"/>
      <c r="AZ335" s="20"/>
    </row>
    <row r="336" ht="15.75" customHeight="1">
      <c r="A336" s="20"/>
      <c r="B336" s="20"/>
      <c r="C336" s="20"/>
      <c r="D336" s="20"/>
      <c r="E336" s="20"/>
      <c r="F336" s="20"/>
      <c r="G336" s="20"/>
      <c r="H336" s="20"/>
      <c r="I336" s="127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  <c r="AH336" s="20"/>
      <c r="AI336" s="20"/>
      <c r="AJ336" s="20"/>
      <c r="AK336" s="20"/>
      <c r="AL336" s="20"/>
      <c r="AM336" s="20"/>
      <c r="AN336" s="20"/>
      <c r="AO336" s="20"/>
      <c r="AP336" s="20"/>
      <c r="AQ336" s="20"/>
      <c r="AS336" s="20"/>
      <c r="AT336" s="20"/>
      <c r="AU336" s="20"/>
      <c r="AV336" s="20"/>
      <c r="AW336" s="20"/>
      <c r="AX336" s="20"/>
      <c r="AY336" s="20"/>
      <c r="AZ336" s="20"/>
    </row>
    <row r="337" ht="15.75" customHeight="1">
      <c r="A337" s="20"/>
      <c r="B337" s="20"/>
      <c r="C337" s="20"/>
      <c r="D337" s="20"/>
      <c r="E337" s="20"/>
      <c r="F337" s="20"/>
      <c r="G337" s="20"/>
      <c r="H337" s="20"/>
      <c r="I337" s="127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  <c r="AH337" s="20"/>
      <c r="AI337" s="20"/>
      <c r="AJ337" s="20"/>
      <c r="AK337" s="20"/>
      <c r="AL337" s="20"/>
      <c r="AM337" s="20"/>
      <c r="AN337" s="20"/>
      <c r="AO337" s="20"/>
      <c r="AP337" s="20"/>
      <c r="AQ337" s="20"/>
      <c r="AS337" s="20"/>
      <c r="AT337" s="20"/>
      <c r="AU337" s="20"/>
      <c r="AV337" s="20"/>
      <c r="AW337" s="20"/>
      <c r="AX337" s="20"/>
      <c r="AY337" s="20"/>
      <c r="AZ337" s="20"/>
    </row>
    <row r="338" ht="15.75" customHeight="1">
      <c r="A338" s="20"/>
      <c r="B338" s="20"/>
      <c r="C338" s="20"/>
      <c r="D338" s="20"/>
      <c r="E338" s="20"/>
      <c r="F338" s="20"/>
      <c r="G338" s="20"/>
      <c r="H338" s="20"/>
      <c r="I338" s="127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  <c r="AH338" s="20"/>
      <c r="AI338" s="20"/>
      <c r="AJ338" s="20"/>
      <c r="AK338" s="20"/>
      <c r="AL338" s="20"/>
      <c r="AM338" s="20"/>
      <c r="AN338" s="20"/>
      <c r="AO338" s="20"/>
      <c r="AP338" s="20"/>
      <c r="AQ338" s="20"/>
      <c r="AS338" s="20"/>
      <c r="AT338" s="20"/>
      <c r="AU338" s="20"/>
      <c r="AV338" s="20"/>
      <c r="AW338" s="20"/>
      <c r="AX338" s="20"/>
      <c r="AY338" s="20"/>
      <c r="AZ338" s="20"/>
    </row>
    <row r="339" ht="15.75" customHeight="1">
      <c r="A339" s="20"/>
      <c r="B339" s="20"/>
      <c r="C339" s="20"/>
      <c r="D339" s="20"/>
      <c r="E339" s="20"/>
      <c r="F339" s="20"/>
      <c r="G339" s="20"/>
      <c r="H339" s="20"/>
      <c r="I339" s="127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  <c r="AH339" s="20"/>
      <c r="AI339" s="20"/>
      <c r="AJ339" s="20"/>
      <c r="AK339" s="20"/>
      <c r="AL339" s="20"/>
      <c r="AM339" s="20"/>
      <c r="AN339" s="20"/>
      <c r="AO339" s="20"/>
      <c r="AP339" s="20"/>
      <c r="AQ339" s="20"/>
      <c r="AS339" s="20"/>
      <c r="AT339" s="20"/>
      <c r="AU339" s="20"/>
      <c r="AV339" s="20"/>
      <c r="AW339" s="20"/>
      <c r="AX339" s="20"/>
      <c r="AY339" s="20"/>
      <c r="AZ339" s="20"/>
    </row>
    <row r="340" ht="15.75" customHeight="1">
      <c r="A340" s="20"/>
      <c r="B340" s="20"/>
      <c r="C340" s="20"/>
      <c r="D340" s="20"/>
      <c r="E340" s="20"/>
      <c r="F340" s="20"/>
      <c r="G340" s="20"/>
      <c r="H340" s="20"/>
      <c r="I340" s="127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  <c r="AH340" s="20"/>
      <c r="AI340" s="20"/>
      <c r="AJ340" s="20"/>
      <c r="AK340" s="20"/>
      <c r="AL340" s="20"/>
      <c r="AM340" s="20"/>
      <c r="AN340" s="20"/>
      <c r="AO340" s="20"/>
      <c r="AP340" s="20"/>
      <c r="AQ340" s="20"/>
      <c r="AS340" s="20"/>
      <c r="AT340" s="20"/>
      <c r="AU340" s="20"/>
      <c r="AV340" s="20"/>
      <c r="AW340" s="20"/>
      <c r="AX340" s="20"/>
      <c r="AY340" s="20"/>
      <c r="AZ340" s="20"/>
    </row>
    <row r="341" ht="15.75" customHeight="1">
      <c r="A341" s="20"/>
      <c r="B341" s="20"/>
      <c r="C341" s="20"/>
      <c r="D341" s="20"/>
      <c r="E341" s="20"/>
      <c r="F341" s="20"/>
      <c r="G341" s="20"/>
      <c r="H341" s="20"/>
      <c r="I341" s="127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  <c r="AH341" s="20"/>
      <c r="AI341" s="20"/>
      <c r="AJ341" s="20"/>
      <c r="AK341" s="20"/>
      <c r="AL341" s="20"/>
      <c r="AM341" s="20"/>
      <c r="AN341" s="20"/>
      <c r="AO341" s="20"/>
      <c r="AP341" s="20"/>
      <c r="AQ341" s="20"/>
      <c r="AS341" s="20"/>
      <c r="AT341" s="20"/>
      <c r="AU341" s="20"/>
      <c r="AV341" s="20"/>
      <c r="AW341" s="20"/>
      <c r="AX341" s="20"/>
      <c r="AY341" s="20"/>
      <c r="AZ341" s="20"/>
    </row>
    <row r="342" ht="15.75" customHeight="1">
      <c r="A342" s="20"/>
      <c r="B342" s="20"/>
      <c r="C342" s="20"/>
      <c r="D342" s="20"/>
      <c r="E342" s="20"/>
      <c r="F342" s="20"/>
      <c r="G342" s="20"/>
      <c r="H342" s="20"/>
      <c r="I342" s="127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  <c r="AH342" s="20"/>
      <c r="AI342" s="20"/>
      <c r="AJ342" s="20"/>
      <c r="AK342" s="20"/>
      <c r="AL342" s="20"/>
      <c r="AM342" s="20"/>
      <c r="AN342" s="20"/>
      <c r="AO342" s="20"/>
      <c r="AP342" s="20"/>
      <c r="AQ342" s="20"/>
      <c r="AS342" s="20"/>
      <c r="AT342" s="20"/>
      <c r="AU342" s="20"/>
      <c r="AV342" s="20"/>
      <c r="AW342" s="20"/>
      <c r="AX342" s="20"/>
      <c r="AY342" s="20"/>
      <c r="AZ342" s="20"/>
    </row>
    <row r="343" ht="15.75" customHeight="1">
      <c r="A343" s="20"/>
      <c r="B343" s="20"/>
      <c r="C343" s="20"/>
      <c r="D343" s="20"/>
      <c r="E343" s="20"/>
      <c r="F343" s="20"/>
      <c r="G343" s="20"/>
      <c r="H343" s="20"/>
      <c r="I343" s="127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  <c r="AH343" s="20"/>
      <c r="AI343" s="20"/>
      <c r="AJ343" s="20"/>
      <c r="AK343" s="20"/>
      <c r="AL343" s="20"/>
      <c r="AM343" s="20"/>
      <c r="AN343" s="20"/>
      <c r="AO343" s="20"/>
      <c r="AP343" s="20"/>
      <c r="AQ343" s="20"/>
      <c r="AS343" s="20"/>
      <c r="AT343" s="20"/>
      <c r="AU343" s="20"/>
      <c r="AV343" s="20"/>
      <c r="AW343" s="20"/>
      <c r="AX343" s="20"/>
      <c r="AY343" s="20"/>
      <c r="AZ343" s="20"/>
    </row>
    <row r="344" ht="15.75" customHeight="1">
      <c r="A344" s="20"/>
      <c r="B344" s="20"/>
      <c r="C344" s="20"/>
      <c r="D344" s="20"/>
      <c r="E344" s="20"/>
      <c r="F344" s="20"/>
      <c r="G344" s="20"/>
      <c r="H344" s="20"/>
      <c r="I344" s="127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  <c r="AH344" s="20"/>
      <c r="AI344" s="20"/>
      <c r="AJ344" s="20"/>
      <c r="AK344" s="20"/>
      <c r="AL344" s="20"/>
      <c r="AM344" s="20"/>
      <c r="AN344" s="20"/>
      <c r="AO344" s="20"/>
      <c r="AP344" s="20"/>
      <c r="AQ344" s="20"/>
      <c r="AS344" s="20"/>
      <c r="AT344" s="20"/>
      <c r="AU344" s="20"/>
      <c r="AV344" s="20"/>
      <c r="AW344" s="20"/>
      <c r="AX344" s="20"/>
      <c r="AY344" s="20"/>
      <c r="AZ344" s="20"/>
    </row>
    <row r="345" ht="15.75" customHeight="1">
      <c r="A345" s="20"/>
      <c r="B345" s="20"/>
      <c r="C345" s="20"/>
      <c r="D345" s="20"/>
      <c r="E345" s="20"/>
      <c r="F345" s="20"/>
      <c r="G345" s="20"/>
      <c r="H345" s="20"/>
      <c r="I345" s="127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  <c r="AH345" s="20"/>
      <c r="AI345" s="20"/>
      <c r="AJ345" s="20"/>
      <c r="AK345" s="20"/>
      <c r="AL345" s="20"/>
      <c r="AM345" s="20"/>
      <c r="AN345" s="20"/>
      <c r="AO345" s="20"/>
      <c r="AP345" s="20"/>
      <c r="AQ345" s="20"/>
      <c r="AS345" s="20"/>
      <c r="AT345" s="20"/>
      <c r="AU345" s="20"/>
      <c r="AV345" s="20"/>
      <c r="AW345" s="20"/>
      <c r="AX345" s="20"/>
      <c r="AY345" s="20"/>
      <c r="AZ345" s="20"/>
    </row>
    <row r="346" ht="15.75" customHeight="1">
      <c r="A346" s="20"/>
      <c r="B346" s="20"/>
      <c r="C346" s="20"/>
      <c r="D346" s="20"/>
      <c r="E346" s="20"/>
      <c r="F346" s="20"/>
      <c r="G346" s="20"/>
      <c r="H346" s="20"/>
      <c r="I346" s="127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  <c r="AH346" s="20"/>
      <c r="AI346" s="20"/>
      <c r="AJ346" s="20"/>
      <c r="AK346" s="20"/>
      <c r="AL346" s="20"/>
      <c r="AM346" s="20"/>
      <c r="AN346" s="20"/>
      <c r="AO346" s="20"/>
      <c r="AP346" s="20"/>
      <c r="AQ346" s="20"/>
      <c r="AS346" s="20"/>
      <c r="AT346" s="20"/>
      <c r="AU346" s="20"/>
      <c r="AV346" s="20"/>
      <c r="AW346" s="20"/>
      <c r="AX346" s="20"/>
      <c r="AY346" s="20"/>
      <c r="AZ346" s="20"/>
    </row>
    <row r="347" ht="15.75" customHeight="1">
      <c r="A347" s="20"/>
      <c r="B347" s="20"/>
      <c r="C347" s="20"/>
      <c r="D347" s="20"/>
      <c r="E347" s="20"/>
      <c r="F347" s="20"/>
      <c r="G347" s="20"/>
      <c r="H347" s="20"/>
      <c r="I347" s="127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  <c r="AH347" s="20"/>
      <c r="AI347" s="20"/>
      <c r="AJ347" s="20"/>
      <c r="AK347" s="20"/>
      <c r="AL347" s="20"/>
      <c r="AM347" s="20"/>
      <c r="AN347" s="20"/>
      <c r="AO347" s="20"/>
      <c r="AP347" s="20"/>
      <c r="AQ347" s="20"/>
      <c r="AS347" s="20"/>
      <c r="AT347" s="20"/>
      <c r="AU347" s="20"/>
      <c r="AV347" s="20"/>
      <c r="AW347" s="20"/>
      <c r="AX347" s="20"/>
      <c r="AY347" s="20"/>
      <c r="AZ347" s="20"/>
    </row>
    <row r="348" ht="15.75" customHeight="1">
      <c r="A348" s="20"/>
      <c r="B348" s="20"/>
      <c r="C348" s="20"/>
      <c r="D348" s="20"/>
      <c r="E348" s="20"/>
      <c r="F348" s="20"/>
      <c r="G348" s="20"/>
      <c r="H348" s="20"/>
      <c r="I348" s="127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  <c r="AH348" s="20"/>
      <c r="AI348" s="20"/>
      <c r="AJ348" s="20"/>
      <c r="AK348" s="20"/>
      <c r="AL348" s="20"/>
      <c r="AM348" s="20"/>
      <c r="AN348" s="20"/>
      <c r="AO348" s="20"/>
      <c r="AP348" s="20"/>
      <c r="AQ348" s="20"/>
      <c r="AS348" s="20"/>
      <c r="AT348" s="20"/>
      <c r="AU348" s="20"/>
      <c r="AV348" s="20"/>
      <c r="AW348" s="20"/>
      <c r="AX348" s="20"/>
      <c r="AY348" s="20"/>
      <c r="AZ348" s="20"/>
    </row>
    <row r="349" ht="15.75" customHeight="1">
      <c r="A349" s="20"/>
      <c r="B349" s="20"/>
      <c r="C349" s="20"/>
      <c r="D349" s="20"/>
      <c r="E349" s="20"/>
      <c r="F349" s="20"/>
      <c r="G349" s="20"/>
      <c r="H349" s="20"/>
      <c r="I349" s="127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  <c r="AH349" s="20"/>
      <c r="AI349" s="20"/>
      <c r="AJ349" s="20"/>
      <c r="AK349" s="20"/>
      <c r="AL349" s="20"/>
      <c r="AM349" s="20"/>
      <c r="AN349" s="20"/>
      <c r="AO349" s="20"/>
      <c r="AP349" s="20"/>
      <c r="AQ349" s="20"/>
      <c r="AS349" s="20"/>
      <c r="AT349" s="20"/>
      <c r="AU349" s="20"/>
      <c r="AV349" s="20"/>
      <c r="AW349" s="20"/>
      <c r="AX349" s="20"/>
      <c r="AY349" s="20"/>
      <c r="AZ349" s="20"/>
    </row>
    <row r="350" ht="15.75" customHeight="1">
      <c r="A350" s="20"/>
      <c r="B350" s="20"/>
      <c r="C350" s="20"/>
      <c r="D350" s="20"/>
      <c r="E350" s="20"/>
      <c r="F350" s="20"/>
      <c r="G350" s="20"/>
      <c r="H350" s="20"/>
      <c r="I350" s="127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  <c r="AF350" s="20"/>
      <c r="AG350" s="20"/>
      <c r="AH350" s="20"/>
      <c r="AI350" s="20"/>
      <c r="AJ350" s="20"/>
      <c r="AK350" s="20"/>
      <c r="AL350" s="20"/>
      <c r="AM350" s="20"/>
      <c r="AN350" s="20"/>
      <c r="AO350" s="20"/>
      <c r="AP350" s="20"/>
      <c r="AQ350" s="20"/>
      <c r="AS350" s="20"/>
      <c r="AT350" s="20"/>
      <c r="AU350" s="20"/>
      <c r="AV350" s="20"/>
      <c r="AW350" s="20"/>
      <c r="AX350" s="20"/>
      <c r="AY350" s="20"/>
      <c r="AZ350" s="20"/>
    </row>
    <row r="351" ht="15.75" customHeight="1">
      <c r="A351" s="20"/>
      <c r="B351" s="20"/>
      <c r="C351" s="20"/>
      <c r="D351" s="20"/>
      <c r="E351" s="20"/>
      <c r="F351" s="20"/>
      <c r="G351" s="20"/>
      <c r="H351" s="20"/>
      <c r="I351" s="127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  <c r="AH351" s="20"/>
      <c r="AI351" s="20"/>
      <c r="AJ351" s="20"/>
      <c r="AK351" s="20"/>
      <c r="AL351" s="20"/>
      <c r="AM351" s="20"/>
      <c r="AN351" s="20"/>
      <c r="AO351" s="20"/>
      <c r="AP351" s="20"/>
      <c r="AQ351" s="20"/>
      <c r="AS351" s="20"/>
      <c r="AT351" s="20"/>
      <c r="AU351" s="20"/>
      <c r="AV351" s="20"/>
      <c r="AW351" s="20"/>
      <c r="AX351" s="20"/>
      <c r="AY351" s="20"/>
      <c r="AZ351" s="20"/>
    </row>
    <row r="352" ht="15.75" customHeight="1">
      <c r="A352" s="20"/>
      <c r="B352" s="20"/>
      <c r="C352" s="20"/>
      <c r="D352" s="20"/>
      <c r="E352" s="20"/>
      <c r="F352" s="20"/>
      <c r="G352" s="20"/>
      <c r="H352" s="20"/>
      <c r="I352" s="127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  <c r="AH352" s="20"/>
      <c r="AI352" s="20"/>
      <c r="AJ352" s="20"/>
      <c r="AK352" s="20"/>
      <c r="AL352" s="20"/>
      <c r="AM352" s="20"/>
      <c r="AN352" s="20"/>
      <c r="AO352" s="20"/>
      <c r="AP352" s="20"/>
      <c r="AQ352" s="20"/>
      <c r="AS352" s="20"/>
      <c r="AT352" s="20"/>
      <c r="AU352" s="20"/>
      <c r="AV352" s="20"/>
      <c r="AW352" s="20"/>
      <c r="AX352" s="20"/>
      <c r="AY352" s="20"/>
      <c r="AZ352" s="20"/>
    </row>
    <row r="353" ht="15.75" customHeight="1">
      <c r="A353" s="20"/>
      <c r="B353" s="20"/>
      <c r="C353" s="20"/>
      <c r="D353" s="20"/>
      <c r="E353" s="20"/>
      <c r="F353" s="20"/>
      <c r="G353" s="20"/>
      <c r="H353" s="20"/>
      <c r="I353" s="127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  <c r="AH353" s="20"/>
      <c r="AI353" s="20"/>
      <c r="AJ353" s="20"/>
      <c r="AK353" s="20"/>
      <c r="AL353" s="20"/>
      <c r="AM353" s="20"/>
      <c r="AN353" s="20"/>
      <c r="AO353" s="20"/>
      <c r="AP353" s="20"/>
      <c r="AQ353" s="20"/>
      <c r="AS353" s="20"/>
      <c r="AT353" s="20"/>
      <c r="AU353" s="20"/>
      <c r="AV353" s="20"/>
      <c r="AW353" s="20"/>
      <c r="AX353" s="20"/>
      <c r="AY353" s="20"/>
      <c r="AZ353" s="20"/>
    </row>
    <row r="354" ht="15.75" customHeight="1">
      <c r="A354" s="20"/>
      <c r="B354" s="20"/>
      <c r="C354" s="20"/>
      <c r="D354" s="20"/>
      <c r="E354" s="20"/>
      <c r="F354" s="20"/>
      <c r="G354" s="20"/>
      <c r="H354" s="20"/>
      <c r="I354" s="127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  <c r="AH354" s="20"/>
      <c r="AI354" s="20"/>
      <c r="AJ354" s="20"/>
      <c r="AK354" s="20"/>
      <c r="AL354" s="20"/>
      <c r="AM354" s="20"/>
      <c r="AN354" s="20"/>
      <c r="AO354" s="20"/>
      <c r="AP354" s="20"/>
      <c r="AQ354" s="20"/>
      <c r="AS354" s="20"/>
      <c r="AT354" s="20"/>
      <c r="AU354" s="20"/>
      <c r="AV354" s="20"/>
      <c r="AW354" s="20"/>
      <c r="AX354" s="20"/>
      <c r="AY354" s="20"/>
      <c r="AZ354" s="20"/>
    </row>
    <row r="355" ht="15.75" customHeight="1">
      <c r="A355" s="20"/>
      <c r="B355" s="20"/>
      <c r="C355" s="20"/>
      <c r="D355" s="20"/>
      <c r="E355" s="20"/>
      <c r="F355" s="20"/>
      <c r="G355" s="20"/>
      <c r="H355" s="20"/>
      <c r="I355" s="127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  <c r="AH355" s="20"/>
      <c r="AI355" s="20"/>
      <c r="AJ355" s="20"/>
      <c r="AK355" s="20"/>
      <c r="AL355" s="20"/>
      <c r="AM355" s="20"/>
      <c r="AN355" s="20"/>
      <c r="AO355" s="20"/>
      <c r="AP355" s="20"/>
      <c r="AQ355" s="20"/>
      <c r="AS355" s="20"/>
      <c r="AT355" s="20"/>
      <c r="AU355" s="20"/>
      <c r="AV355" s="20"/>
      <c r="AW355" s="20"/>
      <c r="AX355" s="20"/>
      <c r="AY355" s="20"/>
      <c r="AZ355" s="20"/>
    </row>
    <row r="356" ht="15.75" customHeight="1">
      <c r="A356" s="20"/>
      <c r="B356" s="20"/>
      <c r="C356" s="20"/>
      <c r="D356" s="20"/>
      <c r="E356" s="20"/>
      <c r="F356" s="20"/>
      <c r="G356" s="20"/>
      <c r="H356" s="20"/>
      <c r="I356" s="127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  <c r="AH356" s="20"/>
      <c r="AI356" s="20"/>
      <c r="AJ356" s="20"/>
      <c r="AK356" s="20"/>
      <c r="AL356" s="20"/>
      <c r="AM356" s="20"/>
      <c r="AN356" s="20"/>
      <c r="AO356" s="20"/>
      <c r="AP356" s="20"/>
      <c r="AQ356" s="20"/>
      <c r="AS356" s="20"/>
      <c r="AT356" s="20"/>
      <c r="AU356" s="20"/>
      <c r="AV356" s="20"/>
      <c r="AW356" s="20"/>
      <c r="AX356" s="20"/>
      <c r="AY356" s="20"/>
      <c r="AZ356" s="20"/>
    </row>
    <row r="357" ht="15.75" customHeight="1">
      <c r="A357" s="20"/>
      <c r="B357" s="20"/>
      <c r="C357" s="20"/>
      <c r="D357" s="20"/>
      <c r="E357" s="20"/>
      <c r="F357" s="20"/>
      <c r="G357" s="20"/>
      <c r="H357" s="20"/>
      <c r="I357" s="127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  <c r="AH357" s="20"/>
      <c r="AI357" s="20"/>
      <c r="AJ357" s="20"/>
      <c r="AK357" s="20"/>
      <c r="AL357" s="20"/>
      <c r="AM357" s="20"/>
      <c r="AN357" s="20"/>
      <c r="AO357" s="20"/>
      <c r="AP357" s="20"/>
      <c r="AQ357" s="20"/>
      <c r="AS357" s="20"/>
      <c r="AT357" s="20"/>
      <c r="AU357" s="20"/>
      <c r="AV357" s="20"/>
      <c r="AW357" s="20"/>
      <c r="AX357" s="20"/>
      <c r="AY357" s="20"/>
      <c r="AZ357" s="20"/>
    </row>
    <row r="358" ht="15.75" customHeight="1">
      <c r="A358" s="20"/>
      <c r="B358" s="20"/>
      <c r="C358" s="20"/>
      <c r="D358" s="20"/>
      <c r="E358" s="20"/>
      <c r="F358" s="20"/>
      <c r="G358" s="20"/>
      <c r="H358" s="20"/>
      <c r="I358" s="127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  <c r="AH358" s="20"/>
      <c r="AI358" s="20"/>
      <c r="AJ358" s="20"/>
      <c r="AK358" s="20"/>
      <c r="AL358" s="20"/>
      <c r="AM358" s="20"/>
      <c r="AN358" s="20"/>
      <c r="AO358" s="20"/>
      <c r="AP358" s="20"/>
      <c r="AQ358" s="20"/>
      <c r="AS358" s="20"/>
      <c r="AT358" s="20"/>
      <c r="AU358" s="20"/>
      <c r="AV358" s="20"/>
      <c r="AW358" s="20"/>
      <c r="AX358" s="20"/>
      <c r="AY358" s="20"/>
      <c r="AZ358" s="20"/>
    </row>
    <row r="359" ht="15.75" customHeight="1">
      <c r="A359" s="20"/>
      <c r="B359" s="20"/>
      <c r="C359" s="20"/>
      <c r="D359" s="20"/>
      <c r="E359" s="20"/>
      <c r="F359" s="20"/>
      <c r="G359" s="20"/>
      <c r="H359" s="20"/>
      <c r="I359" s="127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  <c r="AH359" s="20"/>
      <c r="AI359" s="20"/>
      <c r="AJ359" s="20"/>
      <c r="AK359" s="20"/>
      <c r="AL359" s="20"/>
      <c r="AM359" s="20"/>
      <c r="AN359" s="20"/>
      <c r="AO359" s="20"/>
      <c r="AP359" s="20"/>
      <c r="AQ359" s="20"/>
      <c r="AS359" s="20"/>
      <c r="AT359" s="20"/>
      <c r="AU359" s="20"/>
      <c r="AV359" s="20"/>
      <c r="AW359" s="20"/>
      <c r="AX359" s="20"/>
      <c r="AY359" s="20"/>
      <c r="AZ359" s="20"/>
    </row>
    <row r="360" ht="15.75" customHeight="1">
      <c r="I360" s="77"/>
      <c r="AS360" s="20"/>
      <c r="AT360" s="20"/>
      <c r="AU360" s="20"/>
      <c r="AV360" s="20"/>
      <c r="AW360" s="20"/>
      <c r="AX360" s="20"/>
      <c r="AY360" s="20"/>
      <c r="AZ360" s="20"/>
    </row>
    <row r="361" ht="15.75" customHeight="1">
      <c r="I361" s="77"/>
      <c r="AS361" s="20"/>
      <c r="AT361" s="20"/>
      <c r="AU361" s="20"/>
      <c r="AV361" s="20"/>
      <c r="AW361" s="20"/>
      <c r="AX361" s="20"/>
      <c r="AY361" s="20"/>
      <c r="AZ361" s="20"/>
    </row>
    <row r="362" ht="15.75" customHeight="1">
      <c r="I362" s="77"/>
      <c r="AS362" s="20"/>
      <c r="AT362" s="20"/>
      <c r="AU362" s="20"/>
      <c r="AV362" s="20"/>
      <c r="AW362" s="20"/>
      <c r="AX362" s="20"/>
      <c r="AY362" s="20"/>
      <c r="AZ362" s="20"/>
    </row>
    <row r="363" ht="15.75" customHeight="1">
      <c r="I363" s="77"/>
      <c r="AS363" s="20"/>
      <c r="AT363" s="20"/>
      <c r="AU363" s="20"/>
      <c r="AV363" s="20"/>
      <c r="AW363" s="20"/>
      <c r="AX363" s="20"/>
      <c r="AY363" s="20"/>
      <c r="AZ363" s="20"/>
    </row>
    <row r="364" ht="15.75" customHeight="1">
      <c r="I364" s="77"/>
      <c r="AS364" s="20"/>
      <c r="AT364" s="20"/>
      <c r="AU364" s="20"/>
      <c r="AV364" s="20"/>
      <c r="AW364" s="20"/>
      <c r="AX364" s="20"/>
      <c r="AY364" s="20"/>
      <c r="AZ364" s="20"/>
    </row>
    <row r="365" ht="15.75" customHeight="1">
      <c r="I365" s="77"/>
      <c r="AS365" s="20"/>
      <c r="AT365" s="20"/>
      <c r="AU365" s="20"/>
      <c r="AV365" s="20"/>
      <c r="AW365" s="20"/>
      <c r="AX365" s="20"/>
      <c r="AY365" s="20"/>
      <c r="AZ365" s="20"/>
    </row>
    <row r="366" ht="15.75" customHeight="1">
      <c r="I366" s="77"/>
      <c r="AS366" s="20"/>
      <c r="AT366" s="20"/>
      <c r="AU366" s="20"/>
      <c r="AV366" s="20"/>
      <c r="AW366" s="20"/>
      <c r="AX366" s="20"/>
      <c r="AY366" s="20"/>
      <c r="AZ366" s="20"/>
    </row>
    <row r="367" ht="15.75" customHeight="1">
      <c r="I367" s="77"/>
      <c r="AS367" s="20"/>
      <c r="AT367" s="20"/>
      <c r="AU367" s="20"/>
      <c r="AV367" s="20"/>
      <c r="AW367" s="20"/>
      <c r="AX367" s="20"/>
      <c r="AY367" s="20"/>
      <c r="AZ367" s="20"/>
    </row>
    <row r="368" ht="15.75" customHeight="1">
      <c r="I368" s="77"/>
      <c r="AS368" s="20"/>
      <c r="AT368" s="20"/>
      <c r="AU368" s="20"/>
      <c r="AV368" s="20"/>
      <c r="AW368" s="20"/>
      <c r="AX368" s="20"/>
      <c r="AY368" s="20"/>
      <c r="AZ368" s="20"/>
    </row>
    <row r="369" ht="15.75" customHeight="1">
      <c r="I369" s="77"/>
      <c r="AS369" s="20"/>
      <c r="AT369" s="20"/>
      <c r="AU369" s="20"/>
      <c r="AV369" s="20"/>
      <c r="AW369" s="20"/>
      <c r="AX369" s="20"/>
      <c r="AY369" s="20"/>
      <c r="AZ369" s="20"/>
    </row>
    <row r="370" ht="15.75" customHeight="1">
      <c r="I370" s="77"/>
      <c r="AS370" s="20"/>
      <c r="AT370" s="20"/>
      <c r="AU370" s="20"/>
      <c r="AV370" s="20"/>
      <c r="AW370" s="20"/>
      <c r="AX370" s="20"/>
      <c r="AY370" s="20"/>
      <c r="AZ370" s="20"/>
    </row>
    <row r="371" ht="15.75" customHeight="1">
      <c r="I371" s="77"/>
      <c r="AS371" s="20"/>
      <c r="AT371" s="20"/>
      <c r="AU371" s="20"/>
      <c r="AV371" s="20"/>
      <c r="AW371" s="20"/>
      <c r="AX371" s="20"/>
      <c r="AY371" s="20"/>
      <c r="AZ371" s="20"/>
    </row>
    <row r="372" ht="15.75" customHeight="1">
      <c r="I372" s="77"/>
      <c r="AS372" s="20"/>
      <c r="AT372" s="20"/>
      <c r="AU372" s="20"/>
      <c r="AV372" s="20"/>
      <c r="AW372" s="20"/>
      <c r="AX372" s="20"/>
      <c r="AY372" s="20"/>
      <c r="AZ372" s="20"/>
    </row>
    <row r="373" ht="15.75" customHeight="1">
      <c r="I373" s="77"/>
      <c r="AS373" s="20"/>
      <c r="AT373" s="20"/>
      <c r="AU373" s="20"/>
      <c r="AV373" s="20"/>
      <c r="AW373" s="20"/>
      <c r="AX373" s="20"/>
      <c r="AY373" s="20"/>
      <c r="AZ373" s="20"/>
    </row>
    <row r="374" ht="15.75" customHeight="1">
      <c r="I374" s="77"/>
      <c r="AS374" s="20"/>
      <c r="AT374" s="20"/>
      <c r="AU374" s="20"/>
      <c r="AV374" s="20"/>
      <c r="AW374" s="20"/>
      <c r="AX374" s="20"/>
      <c r="AY374" s="20"/>
      <c r="AZ374" s="20"/>
    </row>
    <row r="375" ht="15.75" customHeight="1">
      <c r="I375" s="77"/>
      <c r="AS375" s="20"/>
      <c r="AT375" s="20"/>
      <c r="AU375" s="20"/>
      <c r="AV375" s="20"/>
      <c r="AW375" s="20"/>
      <c r="AX375" s="20"/>
      <c r="AY375" s="20"/>
      <c r="AZ375" s="20"/>
    </row>
    <row r="376" ht="15.75" customHeight="1">
      <c r="I376" s="77"/>
      <c r="AS376" s="20"/>
      <c r="AT376" s="20"/>
      <c r="AU376" s="20"/>
      <c r="AV376" s="20"/>
      <c r="AW376" s="20"/>
      <c r="AX376" s="20"/>
      <c r="AY376" s="20"/>
      <c r="AZ376" s="20"/>
    </row>
    <row r="377" ht="15.75" customHeight="1">
      <c r="I377" s="77"/>
      <c r="AS377" s="20"/>
      <c r="AT377" s="20"/>
      <c r="AU377" s="20"/>
      <c r="AV377" s="20"/>
      <c r="AW377" s="20"/>
      <c r="AX377" s="20"/>
      <c r="AY377" s="20"/>
      <c r="AZ377" s="20"/>
    </row>
    <row r="378" ht="15.75" customHeight="1">
      <c r="I378" s="77"/>
      <c r="AS378" s="20"/>
      <c r="AT378" s="20"/>
      <c r="AU378" s="20"/>
      <c r="AV378" s="20"/>
      <c r="AW378" s="20"/>
      <c r="AX378" s="20"/>
      <c r="AY378" s="20"/>
      <c r="AZ378" s="20"/>
    </row>
    <row r="379" ht="15.75" customHeight="1">
      <c r="I379" s="77"/>
      <c r="AS379" s="20"/>
      <c r="AT379" s="20"/>
      <c r="AU379" s="20"/>
      <c r="AV379" s="20"/>
      <c r="AW379" s="20"/>
      <c r="AX379" s="20"/>
      <c r="AY379" s="20"/>
      <c r="AZ379" s="20"/>
    </row>
    <row r="380" ht="15.75" customHeight="1">
      <c r="I380" s="77"/>
      <c r="AS380" s="20"/>
      <c r="AT380" s="20"/>
      <c r="AU380" s="20"/>
      <c r="AV380" s="20"/>
      <c r="AW380" s="20"/>
      <c r="AX380" s="20"/>
      <c r="AY380" s="20"/>
      <c r="AZ380" s="20"/>
    </row>
    <row r="381" ht="15.75" customHeight="1">
      <c r="I381" s="77"/>
      <c r="AS381" s="20"/>
      <c r="AT381" s="20"/>
      <c r="AU381" s="20"/>
      <c r="AV381" s="20"/>
      <c r="AW381" s="20"/>
      <c r="AX381" s="20"/>
      <c r="AY381" s="20"/>
      <c r="AZ381" s="20"/>
    </row>
    <row r="382" ht="15.75" customHeight="1">
      <c r="I382" s="77"/>
      <c r="AS382" s="20"/>
      <c r="AT382" s="20"/>
      <c r="AU382" s="20"/>
      <c r="AV382" s="20"/>
      <c r="AW382" s="20"/>
      <c r="AX382" s="20"/>
      <c r="AY382" s="20"/>
      <c r="AZ382" s="20"/>
    </row>
    <row r="383" ht="15.75" customHeight="1">
      <c r="I383" s="77"/>
      <c r="AS383" s="20"/>
      <c r="AT383" s="20"/>
      <c r="AU383" s="20"/>
      <c r="AV383" s="20"/>
      <c r="AW383" s="20"/>
      <c r="AX383" s="20"/>
      <c r="AY383" s="20"/>
      <c r="AZ383" s="20"/>
    </row>
    <row r="384" ht="15.75" customHeight="1">
      <c r="I384" s="77"/>
      <c r="AS384" s="20"/>
      <c r="AT384" s="20"/>
      <c r="AU384" s="20"/>
      <c r="AV384" s="20"/>
      <c r="AW384" s="20"/>
      <c r="AX384" s="20"/>
      <c r="AY384" s="20"/>
      <c r="AZ384" s="20"/>
    </row>
    <row r="385" ht="15.75" customHeight="1">
      <c r="I385" s="77"/>
      <c r="AS385" s="20"/>
      <c r="AT385" s="20"/>
      <c r="AU385" s="20"/>
      <c r="AV385" s="20"/>
      <c r="AW385" s="20"/>
      <c r="AX385" s="20"/>
      <c r="AY385" s="20"/>
      <c r="AZ385" s="20"/>
    </row>
    <row r="386" ht="15.75" customHeight="1">
      <c r="I386" s="77"/>
      <c r="AS386" s="20"/>
      <c r="AT386" s="20"/>
      <c r="AU386" s="20"/>
      <c r="AV386" s="20"/>
      <c r="AW386" s="20"/>
      <c r="AX386" s="20"/>
      <c r="AY386" s="20"/>
      <c r="AZ386" s="20"/>
    </row>
    <row r="387" ht="15.75" customHeight="1">
      <c r="I387" s="77"/>
      <c r="AS387" s="20"/>
      <c r="AT387" s="20"/>
      <c r="AU387" s="20"/>
      <c r="AV387" s="20"/>
      <c r="AW387" s="20"/>
      <c r="AX387" s="20"/>
      <c r="AY387" s="20"/>
      <c r="AZ387" s="20"/>
    </row>
    <row r="388" ht="15.75" customHeight="1">
      <c r="I388" s="77"/>
      <c r="AS388" s="20"/>
      <c r="AT388" s="20"/>
      <c r="AU388" s="20"/>
      <c r="AV388" s="20"/>
      <c r="AW388" s="20"/>
      <c r="AX388" s="20"/>
      <c r="AY388" s="20"/>
      <c r="AZ388" s="20"/>
    </row>
    <row r="389" ht="15.75" customHeight="1">
      <c r="I389" s="77"/>
      <c r="AS389" s="20"/>
      <c r="AT389" s="20"/>
      <c r="AU389" s="20"/>
      <c r="AV389" s="20"/>
      <c r="AW389" s="20"/>
      <c r="AX389" s="20"/>
      <c r="AY389" s="20"/>
      <c r="AZ389" s="20"/>
    </row>
    <row r="390" ht="15.75" customHeight="1">
      <c r="I390" s="77"/>
      <c r="AS390" s="20"/>
      <c r="AT390" s="20"/>
      <c r="AU390" s="20"/>
      <c r="AV390" s="20"/>
      <c r="AW390" s="20"/>
      <c r="AX390" s="20"/>
      <c r="AY390" s="20"/>
      <c r="AZ390" s="20"/>
    </row>
    <row r="391" ht="15.75" customHeight="1">
      <c r="I391" s="77"/>
      <c r="AS391" s="20"/>
      <c r="AT391" s="20"/>
      <c r="AU391" s="20"/>
      <c r="AV391" s="20"/>
      <c r="AW391" s="20"/>
      <c r="AX391" s="20"/>
      <c r="AY391" s="20"/>
      <c r="AZ391" s="20"/>
    </row>
    <row r="392" ht="15.75" customHeight="1">
      <c r="I392" s="77"/>
      <c r="AS392" s="20"/>
      <c r="AT392" s="20"/>
      <c r="AU392" s="20"/>
      <c r="AV392" s="20"/>
      <c r="AW392" s="20"/>
      <c r="AX392" s="20"/>
      <c r="AY392" s="20"/>
      <c r="AZ392" s="20"/>
    </row>
    <row r="393" ht="15.75" customHeight="1">
      <c r="I393" s="77"/>
      <c r="AS393" s="20"/>
      <c r="AT393" s="20"/>
      <c r="AU393" s="20"/>
      <c r="AV393" s="20"/>
      <c r="AW393" s="20"/>
      <c r="AX393" s="20"/>
      <c r="AY393" s="20"/>
      <c r="AZ393" s="20"/>
    </row>
    <row r="394" ht="15.75" customHeight="1">
      <c r="I394" s="77"/>
      <c r="AS394" s="20"/>
      <c r="AT394" s="20"/>
      <c r="AU394" s="20"/>
      <c r="AV394" s="20"/>
      <c r="AW394" s="20"/>
      <c r="AX394" s="20"/>
      <c r="AY394" s="20"/>
      <c r="AZ394" s="20"/>
    </row>
    <row r="395" ht="15.75" customHeight="1">
      <c r="I395" s="77"/>
      <c r="AS395" s="20"/>
      <c r="AT395" s="20"/>
      <c r="AU395" s="20"/>
      <c r="AV395" s="20"/>
      <c r="AW395" s="20"/>
      <c r="AX395" s="20"/>
      <c r="AY395" s="20"/>
      <c r="AZ395" s="20"/>
    </row>
    <row r="396" ht="15.75" customHeight="1">
      <c r="I396" s="77"/>
      <c r="AS396" s="20"/>
      <c r="AT396" s="20"/>
      <c r="AU396" s="20"/>
      <c r="AV396" s="20"/>
      <c r="AW396" s="20"/>
      <c r="AX396" s="20"/>
      <c r="AY396" s="20"/>
      <c r="AZ396" s="20"/>
    </row>
    <row r="397" ht="15.75" customHeight="1">
      <c r="I397" s="77"/>
      <c r="AS397" s="20"/>
      <c r="AT397" s="20"/>
      <c r="AU397" s="20"/>
      <c r="AV397" s="20"/>
      <c r="AW397" s="20"/>
      <c r="AX397" s="20"/>
      <c r="AY397" s="20"/>
      <c r="AZ397" s="20"/>
    </row>
    <row r="398" ht="15.75" customHeight="1">
      <c r="I398" s="77"/>
      <c r="AS398" s="20"/>
      <c r="AT398" s="20"/>
      <c r="AU398" s="20"/>
      <c r="AV398" s="20"/>
      <c r="AW398" s="20"/>
      <c r="AX398" s="20"/>
      <c r="AY398" s="20"/>
      <c r="AZ398" s="20"/>
    </row>
    <row r="399" ht="15.75" customHeight="1">
      <c r="I399" s="77"/>
      <c r="AS399" s="20"/>
      <c r="AT399" s="20"/>
      <c r="AU399" s="20"/>
      <c r="AV399" s="20"/>
      <c r="AW399" s="20"/>
      <c r="AX399" s="20"/>
      <c r="AY399" s="20"/>
      <c r="AZ399" s="20"/>
    </row>
    <row r="400" ht="15.75" customHeight="1">
      <c r="I400" s="77"/>
      <c r="AS400" s="20"/>
      <c r="AT400" s="20"/>
      <c r="AU400" s="20"/>
      <c r="AV400" s="20"/>
      <c r="AW400" s="20"/>
      <c r="AX400" s="20"/>
      <c r="AY400" s="20"/>
      <c r="AZ400" s="20"/>
    </row>
    <row r="401" ht="15.75" customHeight="1">
      <c r="I401" s="77"/>
      <c r="AS401" s="20"/>
      <c r="AT401" s="20"/>
      <c r="AU401" s="20"/>
      <c r="AV401" s="20"/>
      <c r="AW401" s="20"/>
      <c r="AX401" s="20"/>
      <c r="AY401" s="20"/>
      <c r="AZ401" s="20"/>
    </row>
    <row r="402" ht="15.75" customHeight="1">
      <c r="I402" s="77"/>
      <c r="AS402" s="20"/>
      <c r="AT402" s="20"/>
      <c r="AU402" s="20"/>
      <c r="AV402" s="20"/>
      <c r="AW402" s="20"/>
      <c r="AX402" s="20"/>
      <c r="AY402" s="20"/>
      <c r="AZ402" s="20"/>
    </row>
    <row r="403" ht="15.75" customHeight="1">
      <c r="I403" s="77"/>
      <c r="AS403" s="20"/>
      <c r="AT403" s="20"/>
      <c r="AU403" s="20"/>
      <c r="AV403" s="20"/>
      <c r="AW403" s="20"/>
      <c r="AX403" s="20"/>
      <c r="AY403" s="20"/>
      <c r="AZ403" s="20"/>
    </row>
    <row r="404" ht="15.75" customHeight="1">
      <c r="I404" s="77"/>
      <c r="AS404" s="20"/>
      <c r="AT404" s="20"/>
      <c r="AU404" s="20"/>
      <c r="AV404" s="20"/>
      <c r="AW404" s="20"/>
      <c r="AX404" s="20"/>
      <c r="AY404" s="20"/>
      <c r="AZ404" s="20"/>
    </row>
    <row r="405" ht="15.75" customHeight="1">
      <c r="I405" s="77"/>
      <c r="AS405" s="20"/>
      <c r="AT405" s="20"/>
      <c r="AU405" s="20"/>
      <c r="AV405" s="20"/>
      <c r="AW405" s="20"/>
      <c r="AX405" s="20"/>
      <c r="AY405" s="20"/>
      <c r="AZ405" s="20"/>
    </row>
    <row r="406" ht="15.75" customHeight="1">
      <c r="I406" s="77"/>
      <c r="AS406" s="20"/>
      <c r="AT406" s="20"/>
      <c r="AU406" s="20"/>
      <c r="AV406" s="20"/>
      <c r="AW406" s="20"/>
      <c r="AX406" s="20"/>
      <c r="AY406" s="20"/>
      <c r="AZ406" s="20"/>
    </row>
    <row r="407" ht="15.75" customHeight="1">
      <c r="I407" s="77"/>
      <c r="AS407" s="20"/>
      <c r="AT407" s="20"/>
      <c r="AU407" s="20"/>
      <c r="AV407" s="20"/>
      <c r="AW407" s="20"/>
      <c r="AX407" s="20"/>
      <c r="AY407" s="20"/>
      <c r="AZ407" s="20"/>
    </row>
    <row r="408" ht="15.75" customHeight="1">
      <c r="I408" s="77"/>
      <c r="AS408" s="20"/>
      <c r="AT408" s="20"/>
      <c r="AU408" s="20"/>
      <c r="AV408" s="20"/>
      <c r="AW408" s="20"/>
      <c r="AX408" s="20"/>
      <c r="AY408" s="20"/>
      <c r="AZ408" s="20"/>
    </row>
    <row r="409" ht="15.75" customHeight="1">
      <c r="I409" s="77"/>
      <c r="AS409" s="20"/>
      <c r="AT409" s="20"/>
      <c r="AU409" s="20"/>
      <c r="AV409" s="20"/>
      <c r="AW409" s="20"/>
      <c r="AX409" s="20"/>
      <c r="AY409" s="20"/>
      <c r="AZ409" s="20"/>
    </row>
    <row r="410" ht="15.75" customHeight="1">
      <c r="I410" s="77"/>
      <c r="AS410" s="20"/>
      <c r="AT410" s="20"/>
      <c r="AU410" s="20"/>
      <c r="AV410" s="20"/>
      <c r="AW410" s="20"/>
      <c r="AX410" s="20"/>
      <c r="AY410" s="20"/>
      <c r="AZ410" s="20"/>
    </row>
    <row r="411" ht="15.75" customHeight="1">
      <c r="I411" s="77"/>
      <c r="AS411" s="20"/>
      <c r="AT411" s="20"/>
      <c r="AU411" s="20"/>
      <c r="AV411" s="20"/>
      <c r="AW411" s="20"/>
      <c r="AX411" s="20"/>
      <c r="AY411" s="20"/>
      <c r="AZ411" s="20"/>
    </row>
    <row r="412" ht="15.75" customHeight="1">
      <c r="I412" s="77"/>
      <c r="AS412" s="20"/>
      <c r="AT412" s="20"/>
      <c r="AU412" s="20"/>
      <c r="AV412" s="20"/>
      <c r="AW412" s="20"/>
      <c r="AX412" s="20"/>
      <c r="AY412" s="20"/>
      <c r="AZ412" s="20"/>
    </row>
    <row r="413" ht="15.75" customHeight="1">
      <c r="I413" s="77"/>
      <c r="AS413" s="20"/>
      <c r="AT413" s="20"/>
      <c r="AU413" s="20"/>
      <c r="AV413" s="20"/>
      <c r="AW413" s="20"/>
      <c r="AX413" s="20"/>
      <c r="AY413" s="20"/>
      <c r="AZ413" s="20"/>
    </row>
    <row r="414" ht="15.75" customHeight="1">
      <c r="I414" s="77"/>
      <c r="AS414" s="20"/>
      <c r="AT414" s="20"/>
      <c r="AU414" s="20"/>
      <c r="AV414" s="20"/>
      <c r="AW414" s="20"/>
      <c r="AX414" s="20"/>
      <c r="AY414" s="20"/>
      <c r="AZ414" s="20"/>
    </row>
    <row r="415" ht="15.75" customHeight="1">
      <c r="I415" s="77"/>
      <c r="AS415" s="20"/>
      <c r="AT415" s="20"/>
      <c r="AU415" s="20"/>
      <c r="AV415" s="20"/>
      <c r="AW415" s="20"/>
      <c r="AX415" s="20"/>
      <c r="AY415" s="20"/>
      <c r="AZ415" s="20"/>
    </row>
    <row r="416" ht="15.75" customHeight="1">
      <c r="I416" s="77"/>
      <c r="AS416" s="20"/>
      <c r="AT416" s="20"/>
      <c r="AU416" s="20"/>
      <c r="AV416" s="20"/>
      <c r="AW416" s="20"/>
      <c r="AX416" s="20"/>
      <c r="AY416" s="20"/>
      <c r="AZ416" s="20"/>
    </row>
    <row r="417" ht="15.75" customHeight="1">
      <c r="I417" s="77"/>
      <c r="AS417" s="20"/>
      <c r="AT417" s="20"/>
      <c r="AU417" s="20"/>
      <c r="AV417" s="20"/>
      <c r="AW417" s="20"/>
      <c r="AX417" s="20"/>
      <c r="AY417" s="20"/>
      <c r="AZ417" s="20"/>
    </row>
    <row r="418" ht="15.75" customHeight="1">
      <c r="I418" s="77"/>
      <c r="AS418" s="20"/>
      <c r="AT418" s="20"/>
      <c r="AU418" s="20"/>
      <c r="AV418" s="20"/>
      <c r="AW418" s="20"/>
      <c r="AX418" s="20"/>
      <c r="AY418" s="20"/>
      <c r="AZ418" s="20"/>
    </row>
    <row r="419" ht="15.75" customHeight="1">
      <c r="I419" s="77"/>
      <c r="AS419" s="20"/>
      <c r="AT419" s="20"/>
      <c r="AU419" s="20"/>
      <c r="AV419" s="20"/>
      <c r="AW419" s="20"/>
      <c r="AX419" s="20"/>
      <c r="AY419" s="20"/>
      <c r="AZ419" s="20"/>
    </row>
    <row r="420" ht="15.75" customHeight="1">
      <c r="I420" s="77"/>
      <c r="AS420" s="20"/>
      <c r="AT420" s="20"/>
      <c r="AU420" s="20"/>
      <c r="AV420" s="20"/>
      <c r="AW420" s="20"/>
      <c r="AX420" s="20"/>
      <c r="AY420" s="20"/>
      <c r="AZ420" s="20"/>
    </row>
    <row r="421" ht="15.75" customHeight="1">
      <c r="I421" s="77"/>
      <c r="AS421" s="20"/>
      <c r="AT421" s="20"/>
      <c r="AU421" s="20"/>
      <c r="AV421" s="20"/>
      <c r="AW421" s="20"/>
      <c r="AX421" s="20"/>
      <c r="AY421" s="20"/>
      <c r="AZ421" s="20"/>
    </row>
    <row r="422" ht="15.75" customHeight="1">
      <c r="I422" s="77"/>
      <c r="AS422" s="20"/>
      <c r="AT422" s="20"/>
      <c r="AU422" s="20"/>
      <c r="AV422" s="20"/>
      <c r="AW422" s="20"/>
      <c r="AX422" s="20"/>
      <c r="AY422" s="20"/>
      <c r="AZ422" s="20"/>
    </row>
    <row r="423" ht="15.75" customHeight="1">
      <c r="I423" s="77"/>
      <c r="AS423" s="20"/>
      <c r="AT423" s="20"/>
      <c r="AU423" s="20"/>
      <c r="AV423" s="20"/>
      <c r="AW423" s="20"/>
      <c r="AX423" s="20"/>
      <c r="AY423" s="20"/>
      <c r="AZ423" s="20"/>
    </row>
    <row r="424" ht="15.75" customHeight="1">
      <c r="I424" s="77"/>
      <c r="AS424" s="20"/>
      <c r="AT424" s="20"/>
      <c r="AU424" s="20"/>
      <c r="AV424" s="20"/>
      <c r="AW424" s="20"/>
      <c r="AX424" s="20"/>
      <c r="AY424" s="20"/>
      <c r="AZ424" s="20"/>
    </row>
    <row r="425" ht="15.75" customHeight="1">
      <c r="I425" s="77"/>
      <c r="AS425" s="20"/>
      <c r="AT425" s="20"/>
      <c r="AU425" s="20"/>
      <c r="AV425" s="20"/>
      <c r="AW425" s="20"/>
      <c r="AX425" s="20"/>
      <c r="AY425" s="20"/>
      <c r="AZ425" s="20"/>
    </row>
    <row r="426" ht="15.75" customHeight="1">
      <c r="I426" s="77"/>
      <c r="AS426" s="20"/>
      <c r="AT426" s="20"/>
      <c r="AU426" s="20"/>
      <c r="AV426" s="20"/>
      <c r="AW426" s="20"/>
      <c r="AX426" s="20"/>
      <c r="AY426" s="20"/>
      <c r="AZ426" s="20"/>
    </row>
    <row r="427" ht="15.75" customHeight="1">
      <c r="I427" s="77"/>
      <c r="AS427" s="20"/>
      <c r="AT427" s="20"/>
      <c r="AU427" s="20"/>
      <c r="AV427" s="20"/>
      <c r="AW427" s="20"/>
      <c r="AX427" s="20"/>
      <c r="AY427" s="20"/>
      <c r="AZ427" s="20"/>
    </row>
    <row r="428" ht="15.75" customHeight="1">
      <c r="I428" s="77"/>
      <c r="AS428" s="20"/>
      <c r="AT428" s="20"/>
      <c r="AU428" s="20"/>
      <c r="AV428" s="20"/>
      <c r="AW428" s="20"/>
      <c r="AX428" s="20"/>
      <c r="AY428" s="20"/>
      <c r="AZ428" s="20"/>
    </row>
    <row r="429" ht="15.75" customHeight="1">
      <c r="I429" s="77"/>
      <c r="AS429" s="20"/>
      <c r="AT429" s="20"/>
      <c r="AU429" s="20"/>
      <c r="AV429" s="20"/>
      <c r="AW429" s="20"/>
      <c r="AX429" s="20"/>
      <c r="AY429" s="20"/>
      <c r="AZ429" s="20"/>
    </row>
    <row r="430" ht="15.75" customHeight="1">
      <c r="I430" s="77"/>
      <c r="AS430" s="20"/>
      <c r="AT430" s="20"/>
      <c r="AU430" s="20"/>
      <c r="AV430" s="20"/>
      <c r="AW430" s="20"/>
      <c r="AX430" s="20"/>
      <c r="AY430" s="20"/>
      <c r="AZ430" s="20"/>
    </row>
    <row r="431" ht="15.75" customHeight="1">
      <c r="I431" s="77"/>
      <c r="AS431" s="20"/>
      <c r="AT431" s="20"/>
      <c r="AU431" s="20"/>
      <c r="AV431" s="20"/>
      <c r="AW431" s="20"/>
      <c r="AX431" s="20"/>
      <c r="AY431" s="20"/>
      <c r="AZ431" s="20"/>
    </row>
    <row r="432" ht="15.75" customHeight="1">
      <c r="I432" s="77"/>
      <c r="AS432" s="20"/>
      <c r="AT432" s="20"/>
      <c r="AU432" s="20"/>
      <c r="AV432" s="20"/>
      <c r="AW432" s="20"/>
      <c r="AX432" s="20"/>
      <c r="AY432" s="20"/>
      <c r="AZ432" s="20"/>
    </row>
    <row r="433" ht="15.75" customHeight="1">
      <c r="I433" s="77"/>
      <c r="AS433" s="20"/>
      <c r="AT433" s="20"/>
      <c r="AU433" s="20"/>
      <c r="AV433" s="20"/>
      <c r="AW433" s="20"/>
      <c r="AX433" s="20"/>
      <c r="AY433" s="20"/>
      <c r="AZ433" s="20"/>
    </row>
    <row r="434" ht="15.75" customHeight="1">
      <c r="I434" s="77"/>
      <c r="AS434" s="20"/>
      <c r="AT434" s="20"/>
      <c r="AU434" s="20"/>
      <c r="AV434" s="20"/>
      <c r="AW434" s="20"/>
      <c r="AX434" s="20"/>
      <c r="AY434" s="20"/>
      <c r="AZ434" s="20"/>
    </row>
    <row r="435" ht="15.75" customHeight="1">
      <c r="I435" s="77"/>
      <c r="AS435" s="20"/>
      <c r="AT435" s="20"/>
      <c r="AU435" s="20"/>
      <c r="AV435" s="20"/>
      <c r="AW435" s="20"/>
      <c r="AX435" s="20"/>
      <c r="AY435" s="20"/>
      <c r="AZ435" s="20"/>
    </row>
    <row r="436" ht="15.75" customHeight="1">
      <c r="I436" s="77"/>
      <c r="AS436" s="20"/>
      <c r="AT436" s="20"/>
      <c r="AU436" s="20"/>
      <c r="AV436" s="20"/>
      <c r="AW436" s="20"/>
      <c r="AX436" s="20"/>
      <c r="AY436" s="20"/>
      <c r="AZ436" s="20"/>
    </row>
    <row r="437" ht="15.75" customHeight="1">
      <c r="I437" s="77"/>
      <c r="AS437" s="20"/>
      <c r="AT437" s="20"/>
      <c r="AU437" s="20"/>
      <c r="AV437" s="20"/>
      <c r="AW437" s="20"/>
      <c r="AX437" s="20"/>
      <c r="AY437" s="20"/>
      <c r="AZ437" s="20"/>
    </row>
    <row r="438" ht="15.75" customHeight="1">
      <c r="I438" s="77"/>
      <c r="AS438" s="20"/>
      <c r="AT438" s="20"/>
      <c r="AU438" s="20"/>
      <c r="AV438" s="20"/>
      <c r="AW438" s="20"/>
      <c r="AX438" s="20"/>
      <c r="AY438" s="20"/>
      <c r="AZ438" s="20"/>
    </row>
    <row r="439" ht="15.75" customHeight="1">
      <c r="I439" s="77"/>
      <c r="AS439" s="20"/>
      <c r="AT439" s="20"/>
      <c r="AU439" s="20"/>
      <c r="AV439" s="20"/>
      <c r="AW439" s="20"/>
      <c r="AX439" s="20"/>
      <c r="AY439" s="20"/>
      <c r="AZ439" s="20"/>
    </row>
    <row r="440" ht="15.75" customHeight="1">
      <c r="I440" s="77"/>
      <c r="AS440" s="20"/>
      <c r="AT440" s="20"/>
      <c r="AU440" s="20"/>
      <c r="AV440" s="20"/>
      <c r="AW440" s="20"/>
      <c r="AX440" s="20"/>
      <c r="AY440" s="20"/>
      <c r="AZ440" s="20"/>
    </row>
    <row r="441" ht="15.75" customHeight="1">
      <c r="I441" s="77"/>
      <c r="AS441" s="20"/>
      <c r="AT441" s="20"/>
      <c r="AU441" s="20"/>
      <c r="AV441" s="20"/>
      <c r="AW441" s="20"/>
      <c r="AX441" s="20"/>
      <c r="AY441" s="20"/>
      <c r="AZ441" s="20"/>
    </row>
    <row r="442" ht="15.75" customHeight="1">
      <c r="I442" s="77"/>
      <c r="AS442" s="20"/>
      <c r="AT442" s="20"/>
      <c r="AU442" s="20"/>
      <c r="AV442" s="20"/>
      <c r="AW442" s="20"/>
      <c r="AX442" s="20"/>
      <c r="AY442" s="20"/>
      <c r="AZ442" s="20"/>
    </row>
    <row r="443" ht="15.75" customHeight="1">
      <c r="I443" s="77"/>
      <c r="AS443" s="20"/>
      <c r="AT443" s="20"/>
      <c r="AU443" s="20"/>
      <c r="AV443" s="20"/>
      <c r="AW443" s="20"/>
      <c r="AX443" s="20"/>
      <c r="AY443" s="20"/>
      <c r="AZ443" s="20"/>
    </row>
    <row r="444" ht="15.75" customHeight="1">
      <c r="I444" s="77"/>
      <c r="AS444" s="20"/>
      <c r="AT444" s="20"/>
      <c r="AU444" s="20"/>
      <c r="AV444" s="20"/>
      <c r="AW444" s="20"/>
      <c r="AX444" s="20"/>
      <c r="AY444" s="20"/>
      <c r="AZ444" s="20"/>
    </row>
    <row r="445" ht="15.75" customHeight="1">
      <c r="I445" s="77"/>
      <c r="AS445" s="20"/>
      <c r="AT445" s="20"/>
      <c r="AU445" s="20"/>
      <c r="AV445" s="20"/>
      <c r="AW445" s="20"/>
      <c r="AX445" s="20"/>
      <c r="AY445" s="20"/>
      <c r="AZ445" s="20"/>
    </row>
    <row r="446" ht="15.75" customHeight="1">
      <c r="I446" s="77"/>
      <c r="AS446" s="20"/>
      <c r="AT446" s="20"/>
      <c r="AU446" s="20"/>
      <c r="AV446" s="20"/>
      <c r="AW446" s="20"/>
      <c r="AX446" s="20"/>
      <c r="AY446" s="20"/>
      <c r="AZ446" s="20"/>
    </row>
    <row r="447" ht="15.75" customHeight="1">
      <c r="I447" s="77"/>
      <c r="AS447" s="20"/>
      <c r="AT447" s="20"/>
      <c r="AU447" s="20"/>
      <c r="AV447" s="20"/>
      <c r="AW447" s="20"/>
      <c r="AX447" s="20"/>
      <c r="AY447" s="20"/>
      <c r="AZ447" s="20"/>
    </row>
    <row r="448" ht="15.75" customHeight="1">
      <c r="I448" s="77"/>
      <c r="AS448" s="20"/>
      <c r="AT448" s="20"/>
      <c r="AU448" s="20"/>
      <c r="AV448" s="20"/>
      <c r="AW448" s="20"/>
      <c r="AX448" s="20"/>
      <c r="AY448" s="20"/>
      <c r="AZ448" s="20"/>
    </row>
    <row r="449" ht="15.75" customHeight="1">
      <c r="I449" s="77"/>
      <c r="AS449" s="20"/>
      <c r="AT449" s="20"/>
      <c r="AU449" s="20"/>
      <c r="AV449" s="20"/>
      <c r="AW449" s="20"/>
      <c r="AX449" s="20"/>
      <c r="AY449" s="20"/>
      <c r="AZ449" s="20"/>
    </row>
    <row r="450" ht="15.75" customHeight="1">
      <c r="I450" s="77"/>
      <c r="AS450" s="20"/>
      <c r="AT450" s="20"/>
      <c r="AU450" s="20"/>
      <c r="AV450" s="20"/>
      <c r="AW450" s="20"/>
      <c r="AX450" s="20"/>
      <c r="AY450" s="20"/>
      <c r="AZ450" s="20"/>
    </row>
    <row r="451" ht="15.75" customHeight="1">
      <c r="I451" s="77"/>
      <c r="AS451" s="20"/>
      <c r="AT451" s="20"/>
      <c r="AU451" s="20"/>
      <c r="AV451" s="20"/>
      <c r="AW451" s="20"/>
      <c r="AX451" s="20"/>
      <c r="AY451" s="20"/>
      <c r="AZ451" s="20"/>
    </row>
    <row r="452" ht="15.75" customHeight="1">
      <c r="I452" s="77"/>
      <c r="AS452" s="20"/>
      <c r="AT452" s="20"/>
      <c r="AU452" s="20"/>
      <c r="AV452" s="20"/>
      <c r="AW452" s="20"/>
      <c r="AX452" s="20"/>
      <c r="AY452" s="20"/>
      <c r="AZ452" s="20"/>
    </row>
    <row r="453" ht="15.75" customHeight="1">
      <c r="I453" s="77"/>
      <c r="AS453" s="20"/>
      <c r="AT453" s="20"/>
      <c r="AU453" s="20"/>
      <c r="AV453" s="20"/>
      <c r="AW453" s="20"/>
      <c r="AX453" s="20"/>
      <c r="AY453" s="20"/>
      <c r="AZ453" s="20"/>
    </row>
    <row r="454" ht="15.75" customHeight="1">
      <c r="I454" s="77"/>
      <c r="AS454" s="20"/>
      <c r="AT454" s="20"/>
      <c r="AU454" s="20"/>
      <c r="AV454" s="20"/>
      <c r="AW454" s="20"/>
      <c r="AX454" s="20"/>
      <c r="AY454" s="20"/>
      <c r="AZ454" s="20"/>
    </row>
    <row r="455" ht="15.75" customHeight="1">
      <c r="I455" s="77"/>
      <c r="AS455" s="20"/>
      <c r="AT455" s="20"/>
      <c r="AU455" s="20"/>
      <c r="AV455" s="20"/>
      <c r="AW455" s="20"/>
      <c r="AX455" s="20"/>
      <c r="AY455" s="20"/>
      <c r="AZ455" s="20"/>
    </row>
    <row r="456" ht="15.75" customHeight="1">
      <c r="I456" s="77"/>
      <c r="AS456" s="20"/>
      <c r="AT456" s="20"/>
      <c r="AU456" s="20"/>
      <c r="AV456" s="20"/>
      <c r="AW456" s="20"/>
      <c r="AX456" s="20"/>
      <c r="AY456" s="20"/>
      <c r="AZ456" s="20"/>
    </row>
    <row r="457" ht="15.75" customHeight="1">
      <c r="I457" s="77"/>
      <c r="AS457" s="20"/>
      <c r="AT457" s="20"/>
      <c r="AU457" s="20"/>
      <c r="AV457" s="20"/>
      <c r="AW457" s="20"/>
      <c r="AX457" s="20"/>
      <c r="AY457" s="20"/>
      <c r="AZ457" s="20"/>
    </row>
    <row r="458" ht="15.75" customHeight="1">
      <c r="I458" s="77"/>
      <c r="AS458" s="20"/>
      <c r="AT458" s="20"/>
      <c r="AU458" s="20"/>
      <c r="AV458" s="20"/>
      <c r="AW458" s="20"/>
      <c r="AX458" s="20"/>
      <c r="AY458" s="20"/>
      <c r="AZ458" s="20"/>
    </row>
    <row r="459" ht="15.75" customHeight="1">
      <c r="I459" s="77"/>
      <c r="AS459" s="20"/>
      <c r="AT459" s="20"/>
      <c r="AU459" s="20"/>
      <c r="AV459" s="20"/>
      <c r="AW459" s="20"/>
      <c r="AX459" s="20"/>
      <c r="AY459" s="20"/>
      <c r="AZ459" s="20"/>
    </row>
    <row r="460" ht="15.75" customHeight="1">
      <c r="I460" s="77"/>
      <c r="AS460" s="20"/>
      <c r="AT460" s="20"/>
      <c r="AU460" s="20"/>
      <c r="AV460" s="20"/>
      <c r="AW460" s="20"/>
      <c r="AX460" s="20"/>
      <c r="AY460" s="20"/>
      <c r="AZ460" s="20"/>
    </row>
    <row r="461" ht="15.75" customHeight="1">
      <c r="I461" s="77"/>
      <c r="AS461" s="20"/>
      <c r="AT461" s="20"/>
      <c r="AU461" s="20"/>
      <c r="AV461" s="20"/>
      <c r="AW461" s="20"/>
      <c r="AX461" s="20"/>
      <c r="AY461" s="20"/>
      <c r="AZ461" s="20"/>
    </row>
    <row r="462" ht="15.75" customHeight="1">
      <c r="I462" s="77"/>
      <c r="AS462" s="20"/>
      <c r="AT462" s="20"/>
      <c r="AU462" s="20"/>
      <c r="AV462" s="20"/>
      <c r="AW462" s="20"/>
      <c r="AX462" s="20"/>
      <c r="AY462" s="20"/>
      <c r="AZ462" s="20"/>
    </row>
    <row r="463" ht="15.75" customHeight="1">
      <c r="I463" s="77"/>
      <c r="AS463" s="20"/>
      <c r="AT463" s="20"/>
      <c r="AU463" s="20"/>
      <c r="AV463" s="20"/>
      <c r="AW463" s="20"/>
      <c r="AX463" s="20"/>
      <c r="AY463" s="20"/>
      <c r="AZ463" s="20"/>
    </row>
    <row r="464" ht="15.75" customHeight="1">
      <c r="I464" s="77"/>
      <c r="AS464" s="20"/>
      <c r="AT464" s="20"/>
      <c r="AU464" s="20"/>
      <c r="AV464" s="20"/>
      <c r="AW464" s="20"/>
      <c r="AX464" s="20"/>
      <c r="AY464" s="20"/>
      <c r="AZ464" s="20"/>
    </row>
    <row r="465" ht="15.75" customHeight="1">
      <c r="I465" s="77"/>
      <c r="AS465" s="20"/>
      <c r="AT465" s="20"/>
      <c r="AU465" s="20"/>
      <c r="AV465" s="20"/>
      <c r="AW465" s="20"/>
      <c r="AX465" s="20"/>
      <c r="AY465" s="20"/>
      <c r="AZ465" s="20"/>
    </row>
    <row r="466" ht="15.75" customHeight="1">
      <c r="I466" s="77"/>
      <c r="AS466" s="20"/>
      <c r="AT466" s="20"/>
      <c r="AU466" s="20"/>
      <c r="AV466" s="20"/>
      <c r="AW466" s="20"/>
      <c r="AX466" s="20"/>
      <c r="AY466" s="20"/>
      <c r="AZ466" s="20"/>
    </row>
    <row r="467" ht="15.75" customHeight="1">
      <c r="I467" s="77"/>
      <c r="AS467" s="20"/>
      <c r="AT467" s="20"/>
      <c r="AU467" s="20"/>
      <c r="AV467" s="20"/>
      <c r="AW467" s="20"/>
      <c r="AX467" s="20"/>
      <c r="AY467" s="20"/>
      <c r="AZ467" s="20"/>
    </row>
    <row r="468" ht="15.75" customHeight="1">
      <c r="I468" s="77"/>
      <c r="AS468" s="20"/>
      <c r="AT468" s="20"/>
      <c r="AU468" s="20"/>
      <c r="AV468" s="20"/>
      <c r="AW468" s="20"/>
      <c r="AX468" s="20"/>
      <c r="AY468" s="20"/>
      <c r="AZ468" s="20"/>
    </row>
    <row r="469" ht="15.75" customHeight="1">
      <c r="I469" s="77"/>
      <c r="AS469" s="20"/>
      <c r="AT469" s="20"/>
      <c r="AU469" s="20"/>
      <c r="AV469" s="20"/>
      <c r="AW469" s="20"/>
      <c r="AX469" s="20"/>
      <c r="AY469" s="20"/>
      <c r="AZ469" s="20"/>
    </row>
    <row r="470" ht="15.75" customHeight="1">
      <c r="I470" s="77"/>
      <c r="AS470" s="20"/>
      <c r="AT470" s="20"/>
      <c r="AU470" s="20"/>
      <c r="AV470" s="20"/>
      <c r="AW470" s="20"/>
      <c r="AX470" s="20"/>
      <c r="AY470" s="20"/>
      <c r="AZ470" s="20"/>
    </row>
    <row r="471" ht="15.75" customHeight="1">
      <c r="I471" s="77"/>
      <c r="AS471" s="20"/>
      <c r="AT471" s="20"/>
      <c r="AU471" s="20"/>
      <c r="AV471" s="20"/>
      <c r="AW471" s="20"/>
      <c r="AX471" s="20"/>
      <c r="AY471" s="20"/>
      <c r="AZ471" s="20"/>
    </row>
    <row r="472" ht="15.75" customHeight="1">
      <c r="I472" s="77"/>
      <c r="AS472" s="20"/>
      <c r="AT472" s="20"/>
      <c r="AU472" s="20"/>
      <c r="AV472" s="20"/>
      <c r="AW472" s="20"/>
      <c r="AX472" s="20"/>
      <c r="AY472" s="20"/>
      <c r="AZ472" s="20"/>
    </row>
    <row r="473" ht="15.75" customHeight="1">
      <c r="I473" s="77"/>
      <c r="AS473" s="20"/>
      <c r="AT473" s="20"/>
      <c r="AU473" s="20"/>
      <c r="AV473" s="20"/>
      <c r="AW473" s="20"/>
      <c r="AX473" s="20"/>
      <c r="AY473" s="20"/>
      <c r="AZ473" s="20"/>
    </row>
    <row r="474" ht="15.75" customHeight="1">
      <c r="I474" s="77"/>
      <c r="AS474" s="20"/>
      <c r="AT474" s="20"/>
      <c r="AU474" s="20"/>
      <c r="AV474" s="20"/>
      <c r="AW474" s="20"/>
      <c r="AX474" s="20"/>
      <c r="AY474" s="20"/>
      <c r="AZ474" s="20"/>
    </row>
    <row r="475" ht="15.75" customHeight="1">
      <c r="I475" s="77"/>
      <c r="AS475" s="20"/>
      <c r="AT475" s="20"/>
      <c r="AU475" s="20"/>
      <c r="AV475" s="20"/>
      <c r="AW475" s="20"/>
      <c r="AX475" s="20"/>
      <c r="AY475" s="20"/>
      <c r="AZ475" s="20"/>
    </row>
    <row r="476" ht="15.75" customHeight="1">
      <c r="I476" s="77"/>
      <c r="AS476" s="20"/>
      <c r="AT476" s="20"/>
      <c r="AU476" s="20"/>
      <c r="AV476" s="20"/>
      <c r="AW476" s="20"/>
      <c r="AX476" s="20"/>
      <c r="AY476" s="20"/>
      <c r="AZ476" s="20"/>
    </row>
    <row r="477" ht="15.75" customHeight="1">
      <c r="I477" s="77"/>
      <c r="AS477" s="20"/>
      <c r="AT477" s="20"/>
      <c r="AU477" s="20"/>
      <c r="AV477" s="20"/>
      <c r="AW477" s="20"/>
      <c r="AX477" s="20"/>
      <c r="AY477" s="20"/>
      <c r="AZ477" s="20"/>
    </row>
    <row r="478" ht="15.75" customHeight="1">
      <c r="I478" s="77"/>
      <c r="AS478" s="20"/>
      <c r="AT478" s="20"/>
      <c r="AU478" s="20"/>
      <c r="AV478" s="20"/>
      <c r="AW478" s="20"/>
      <c r="AX478" s="20"/>
      <c r="AY478" s="20"/>
      <c r="AZ478" s="20"/>
    </row>
    <row r="479" ht="15.75" customHeight="1">
      <c r="I479" s="77"/>
      <c r="AS479" s="20"/>
      <c r="AT479" s="20"/>
      <c r="AU479" s="20"/>
      <c r="AV479" s="20"/>
      <c r="AW479" s="20"/>
      <c r="AX479" s="20"/>
      <c r="AY479" s="20"/>
      <c r="AZ479" s="20"/>
    </row>
    <row r="480" ht="15.75" customHeight="1">
      <c r="I480" s="77"/>
      <c r="AS480" s="20"/>
      <c r="AT480" s="20"/>
      <c r="AU480" s="20"/>
      <c r="AV480" s="20"/>
      <c r="AW480" s="20"/>
      <c r="AX480" s="20"/>
      <c r="AY480" s="20"/>
      <c r="AZ480" s="20"/>
    </row>
    <row r="481" ht="15.75" customHeight="1">
      <c r="I481" s="77"/>
      <c r="AS481" s="20"/>
      <c r="AT481" s="20"/>
      <c r="AU481" s="20"/>
      <c r="AV481" s="20"/>
      <c r="AW481" s="20"/>
      <c r="AX481" s="20"/>
      <c r="AY481" s="20"/>
      <c r="AZ481" s="20"/>
    </row>
    <row r="482" ht="15.75" customHeight="1">
      <c r="I482" s="77"/>
      <c r="AS482" s="20"/>
      <c r="AT482" s="20"/>
      <c r="AU482" s="20"/>
      <c r="AV482" s="20"/>
      <c r="AW482" s="20"/>
      <c r="AX482" s="20"/>
      <c r="AY482" s="20"/>
      <c r="AZ482" s="20"/>
    </row>
    <row r="483" ht="15.75" customHeight="1">
      <c r="I483" s="77"/>
      <c r="AS483" s="20"/>
      <c r="AT483" s="20"/>
      <c r="AU483" s="20"/>
      <c r="AV483" s="20"/>
      <c r="AW483" s="20"/>
      <c r="AX483" s="20"/>
      <c r="AY483" s="20"/>
      <c r="AZ483" s="20"/>
    </row>
    <row r="484" ht="15.75" customHeight="1">
      <c r="I484" s="77"/>
      <c r="AS484" s="20"/>
      <c r="AT484" s="20"/>
      <c r="AU484" s="20"/>
      <c r="AV484" s="20"/>
      <c r="AW484" s="20"/>
      <c r="AX484" s="20"/>
      <c r="AY484" s="20"/>
      <c r="AZ484" s="20"/>
    </row>
    <row r="485" ht="15.75" customHeight="1">
      <c r="I485" s="77"/>
      <c r="AS485" s="20"/>
      <c r="AT485" s="20"/>
      <c r="AU485" s="20"/>
      <c r="AV485" s="20"/>
      <c r="AW485" s="20"/>
      <c r="AX485" s="20"/>
      <c r="AY485" s="20"/>
      <c r="AZ485" s="20"/>
    </row>
    <row r="486" ht="15.75" customHeight="1">
      <c r="I486" s="77"/>
      <c r="AS486" s="20"/>
      <c r="AT486" s="20"/>
      <c r="AU486" s="20"/>
      <c r="AV486" s="20"/>
      <c r="AW486" s="20"/>
      <c r="AX486" s="20"/>
      <c r="AY486" s="20"/>
      <c r="AZ486" s="20"/>
    </row>
    <row r="487" ht="15.75" customHeight="1">
      <c r="I487" s="77"/>
      <c r="AS487" s="20"/>
      <c r="AT487" s="20"/>
      <c r="AU487" s="20"/>
      <c r="AV487" s="20"/>
      <c r="AW487" s="20"/>
      <c r="AX487" s="20"/>
      <c r="AY487" s="20"/>
      <c r="AZ487" s="20"/>
    </row>
    <row r="488" ht="15.75" customHeight="1">
      <c r="I488" s="77"/>
      <c r="AS488" s="20"/>
      <c r="AT488" s="20"/>
      <c r="AU488" s="20"/>
      <c r="AV488" s="20"/>
      <c r="AW488" s="20"/>
      <c r="AX488" s="20"/>
      <c r="AY488" s="20"/>
      <c r="AZ488" s="20"/>
    </row>
    <row r="489" ht="15.75" customHeight="1">
      <c r="I489" s="77"/>
      <c r="AS489" s="20"/>
      <c r="AT489" s="20"/>
      <c r="AU489" s="20"/>
      <c r="AV489" s="20"/>
      <c r="AW489" s="20"/>
      <c r="AX489" s="20"/>
      <c r="AY489" s="20"/>
      <c r="AZ489" s="20"/>
    </row>
    <row r="490" ht="15.75" customHeight="1">
      <c r="I490" s="77"/>
      <c r="AS490" s="20"/>
      <c r="AT490" s="20"/>
      <c r="AU490" s="20"/>
      <c r="AV490" s="20"/>
      <c r="AW490" s="20"/>
      <c r="AX490" s="20"/>
      <c r="AY490" s="20"/>
      <c r="AZ490" s="20"/>
    </row>
    <row r="491" ht="15.75" customHeight="1">
      <c r="I491" s="77"/>
      <c r="AS491" s="20"/>
      <c r="AT491" s="20"/>
      <c r="AU491" s="20"/>
      <c r="AV491" s="20"/>
      <c r="AW491" s="20"/>
      <c r="AX491" s="20"/>
      <c r="AY491" s="20"/>
      <c r="AZ491" s="20"/>
    </row>
    <row r="492" ht="15.75" customHeight="1">
      <c r="I492" s="77"/>
      <c r="AS492" s="20"/>
      <c r="AT492" s="20"/>
      <c r="AU492" s="20"/>
      <c r="AV492" s="20"/>
      <c r="AW492" s="20"/>
      <c r="AX492" s="20"/>
      <c r="AY492" s="20"/>
      <c r="AZ492" s="20"/>
    </row>
    <row r="493" ht="15.75" customHeight="1">
      <c r="I493" s="77"/>
      <c r="AS493" s="20"/>
      <c r="AT493" s="20"/>
      <c r="AU493" s="20"/>
      <c r="AV493" s="20"/>
      <c r="AW493" s="20"/>
      <c r="AX493" s="20"/>
      <c r="AY493" s="20"/>
      <c r="AZ493" s="20"/>
    </row>
    <row r="494" ht="15.75" customHeight="1">
      <c r="I494" s="77"/>
      <c r="AS494" s="20"/>
      <c r="AT494" s="20"/>
      <c r="AU494" s="20"/>
      <c r="AV494" s="20"/>
      <c r="AW494" s="20"/>
      <c r="AX494" s="20"/>
      <c r="AY494" s="20"/>
      <c r="AZ494" s="20"/>
    </row>
    <row r="495" ht="15.75" customHeight="1">
      <c r="I495" s="77"/>
      <c r="AS495" s="20"/>
      <c r="AT495" s="20"/>
      <c r="AU495" s="20"/>
      <c r="AV495" s="20"/>
      <c r="AW495" s="20"/>
      <c r="AX495" s="20"/>
      <c r="AY495" s="20"/>
      <c r="AZ495" s="20"/>
    </row>
    <row r="496" ht="15.75" customHeight="1">
      <c r="I496" s="77"/>
      <c r="AS496" s="20"/>
      <c r="AT496" s="20"/>
      <c r="AU496" s="20"/>
      <c r="AV496" s="20"/>
      <c r="AW496" s="20"/>
      <c r="AX496" s="20"/>
      <c r="AY496" s="20"/>
      <c r="AZ496" s="20"/>
    </row>
    <row r="497" ht="15.75" customHeight="1">
      <c r="I497" s="77"/>
      <c r="AS497" s="20"/>
      <c r="AT497" s="20"/>
      <c r="AU497" s="20"/>
      <c r="AV497" s="20"/>
      <c r="AW497" s="20"/>
      <c r="AX497" s="20"/>
      <c r="AY497" s="20"/>
      <c r="AZ497" s="20"/>
    </row>
    <row r="498" ht="15.75" customHeight="1">
      <c r="I498" s="77"/>
      <c r="AS498" s="20"/>
      <c r="AT498" s="20"/>
      <c r="AU498" s="20"/>
      <c r="AV498" s="20"/>
      <c r="AW498" s="20"/>
      <c r="AX498" s="20"/>
      <c r="AY498" s="20"/>
      <c r="AZ498" s="20"/>
    </row>
    <row r="499" ht="15.75" customHeight="1">
      <c r="I499" s="77"/>
      <c r="AS499" s="20"/>
      <c r="AT499" s="20"/>
      <c r="AU499" s="20"/>
      <c r="AV499" s="20"/>
      <c r="AW499" s="20"/>
      <c r="AX499" s="20"/>
      <c r="AY499" s="20"/>
      <c r="AZ499" s="20"/>
    </row>
    <row r="500" ht="15.75" customHeight="1">
      <c r="I500" s="77"/>
      <c r="AS500" s="20"/>
      <c r="AT500" s="20"/>
      <c r="AU500" s="20"/>
      <c r="AV500" s="20"/>
      <c r="AW500" s="20"/>
      <c r="AX500" s="20"/>
      <c r="AY500" s="20"/>
      <c r="AZ500" s="20"/>
    </row>
    <row r="501" ht="15.75" customHeight="1">
      <c r="I501" s="77"/>
      <c r="AS501" s="20"/>
      <c r="AT501" s="20"/>
      <c r="AU501" s="20"/>
      <c r="AV501" s="20"/>
      <c r="AW501" s="20"/>
      <c r="AX501" s="20"/>
      <c r="AY501" s="20"/>
      <c r="AZ501" s="20"/>
    </row>
    <row r="502" ht="15.75" customHeight="1">
      <c r="I502" s="77"/>
      <c r="AS502" s="20"/>
      <c r="AT502" s="20"/>
      <c r="AU502" s="20"/>
      <c r="AV502" s="20"/>
      <c r="AW502" s="20"/>
      <c r="AX502" s="20"/>
      <c r="AY502" s="20"/>
      <c r="AZ502" s="20"/>
    </row>
    <row r="503" ht="15.75" customHeight="1">
      <c r="I503" s="77"/>
      <c r="AS503" s="20"/>
      <c r="AT503" s="20"/>
      <c r="AU503" s="20"/>
      <c r="AV503" s="20"/>
      <c r="AW503" s="20"/>
      <c r="AX503" s="20"/>
      <c r="AY503" s="20"/>
      <c r="AZ503" s="20"/>
    </row>
    <row r="504" ht="15.75" customHeight="1">
      <c r="I504" s="77"/>
      <c r="AS504" s="20"/>
      <c r="AT504" s="20"/>
      <c r="AU504" s="20"/>
      <c r="AV504" s="20"/>
      <c r="AW504" s="20"/>
      <c r="AX504" s="20"/>
      <c r="AY504" s="20"/>
      <c r="AZ504" s="20"/>
    </row>
    <row r="505" ht="15.75" customHeight="1">
      <c r="I505" s="77"/>
      <c r="AS505" s="20"/>
      <c r="AT505" s="20"/>
      <c r="AU505" s="20"/>
      <c r="AV505" s="20"/>
      <c r="AW505" s="20"/>
      <c r="AX505" s="20"/>
      <c r="AY505" s="20"/>
      <c r="AZ505" s="20"/>
    </row>
    <row r="506" ht="15.75" customHeight="1">
      <c r="I506" s="77"/>
      <c r="AS506" s="20"/>
      <c r="AT506" s="20"/>
      <c r="AU506" s="20"/>
      <c r="AV506" s="20"/>
      <c r="AW506" s="20"/>
      <c r="AX506" s="20"/>
      <c r="AY506" s="20"/>
      <c r="AZ506" s="20"/>
    </row>
    <row r="507" ht="15.75" customHeight="1">
      <c r="I507" s="77"/>
      <c r="AS507" s="20"/>
      <c r="AT507" s="20"/>
      <c r="AU507" s="20"/>
      <c r="AV507" s="20"/>
      <c r="AW507" s="20"/>
      <c r="AX507" s="20"/>
      <c r="AY507" s="20"/>
      <c r="AZ507" s="20"/>
    </row>
    <row r="508" ht="15.75" customHeight="1">
      <c r="I508" s="77"/>
      <c r="AS508" s="20"/>
      <c r="AT508" s="20"/>
      <c r="AU508" s="20"/>
      <c r="AV508" s="20"/>
      <c r="AW508" s="20"/>
      <c r="AX508" s="20"/>
      <c r="AY508" s="20"/>
      <c r="AZ508" s="20"/>
    </row>
    <row r="509" ht="15.75" customHeight="1">
      <c r="I509" s="77"/>
      <c r="AS509" s="20"/>
      <c r="AT509" s="20"/>
      <c r="AU509" s="20"/>
      <c r="AV509" s="20"/>
      <c r="AW509" s="20"/>
      <c r="AX509" s="20"/>
      <c r="AY509" s="20"/>
      <c r="AZ509" s="20"/>
    </row>
    <row r="510" ht="15.75" customHeight="1">
      <c r="I510" s="77"/>
      <c r="AS510" s="20"/>
      <c r="AT510" s="20"/>
      <c r="AU510" s="20"/>
      <c r="AV510" s="20"/>
      <c r="AW510" s="20"/>
      <c r="AX510" s="20"/>
      <c r="AY510" s="20"/>
      <c r="AZ510" s="20"/>
    </row>
    <row r="511" ht="15.75" customHeight="1">
      <c r="I511" s="77"/>
      <c r="AS511" s="20"/>
      <c r="AT511" s="20"/>
      <c r="AU511" s="20"/>
      <c r="AV511" s="20"/>
      <c r="AW511" s="20"/>
      <c r="AX511" s="20"/>
      <c r="AY511" s="20"/>
      <c r="AZ511" s="20"/>
    </row>
    <row r="512" ht="15.75" customHeight="1">
      <c r="I512" s="77"/>
      <c r="AS512" s="20"/>
      <c r="AT512" s="20"/>
      <c r="AU512" s="20"/>
      <c r="AV512" s="20"/>
      <c r="AW512" s="20"/>
      <c r="AX512" s="20"/>
      <c r="AY512" s="20"/>
      <c r="AZ512" s="20"/>
    </row>
    <row r="513" ht="15.75" customHeight="1">
      <c r="I513" s="77"/>
      <c r="AS513" s="20"/>
      <c r="AT513" s="20"/>
      <c r="AU513" s="20"/>
      <c r="AV513" s="20"/>
      <c r="AW513" s="20"/>
      <c r="AX513" s="20"/>
      <c r="AY513" s="20"/>
      <c r="AZ513" s="20"/>
    </row>
    <row r="514" ht="15.75" customHeight="1">
      <c r="I514" s="77"/>
      <c r="AS514" s="20"/>
      <c r="AT514" s="20"/>
      <c r="AU514" s="20"/>
      <c r="AV514" s="20"/>
      <c r="AW514" s="20"/>
      <c r="AX514" s="20"/>
      <c r="AY514" s="20"/>
      <c r="AZ514" s="20"/>
    </row>
    <row r="515" ht="15.75" customHeight="1">
      <c r="I515" s="77"/>
      <c r="AS515" s="20"/>
      <c r="AT515" s="20"/>
      <c r="AU515" s="20"/>
      <c r="AV515" s="20"/>
      <c r="AW515" s="20"/>
      <c r="AX515" s="20"/>
      <c r="AY515" s="20"/>
      <c r="AZ515" s="20"/>
    </row>
    <row r="516" ht="15.75" customHeight="1">
      <c r="I516" s="77"/>
      <c r="AS516" s="20"/>
      <c r="AT516" s="20"/>
      <c r="AU516" s="20"/>
      <c r="AV516" s="20"/>
      <c r="AW516" s="20"/>
      <c r="AX516" s="20"/>
      <c r="AY516" s="20"/>
      <c r="AZ516" s="20"/>
    </row>
    <row r="517" ht="15.75" customHeight="1">
      <c r="I517" s="77"/>
      <c r="AS517" s="20"/>
      <c r="AT517" s="20"/>
      <c r="AU517" s="20"/>
      <c r="AV517" s="20"/>
      <c r="AW517" s="20"/>
      <c r="AX517" s="20"/>
      <c r="AY517" s="20"/>
      <c r="AZ517" s="20"/>
    </row>
    <row r="518" ht="15.75" customHeight="1">
      <c r="I518" s="77"/>
      <c r="AS518" s="20"/>
      <c r="AT518" s="20"/>
      <c r="AU518" s="20"/>
      <c r="AV518" s="20"/>
      <c r="AW518" s="20"/>
      <c r="AX518" s="20"/>
      <c r="AY518" s="20"/>
      <c r="AZ518" s="20"/>
    </row>
    <row r="519" ht="15.75" customHeight="1">
      <c r="I519" s="77"/>
      <c r="AS519" s="20"/>
      <c r="AT519" s="20"/>
      <c r="AU519" s="20"/>
      <c r="AV519" s="20"/>
      <c r="AW519" s="20"/>
      <c r="AX519" s="20"/>
      <c r="AY519" s="20"/>
      <c r="AZ519" s="20"/>
    </row>
    <row r="520" ht="15.75" customHeight="1">
      <c r="I520" s="77"/>
      <c r="AS520" s="20"/>
      <c r="AT520" s="20"/>
      <c r="AU520" s="20"/>
      <c r="AV520" s="20"/>
      <c r="AW520" s="20"/>
      <c r="AX520" s="20"/>
      <c r="AY520" s="20"/>
      <c r="AZ520" s="20"/>
    </row>
    <row r="521" ht="15.75" customHeight="1">
      <c r="I521" s="77"/>
      <c r="AS521" s="20"/>
      <c r="AT521" s="20"/>
      <c r="AU521" s="20"/>
      <c r="AV521" s="20"/>
      <c r="AW521" s="20"/>
      <c r="AX521" s="20"/>
      <c r="AY521" s="20"/>
      <c r="AZ521" s="20"/>
    </row>
    <row r="522" ht="15.75" customHeight="1">
      <c r="I522" s="77"/>
      <c r="AS522" s="20"/>
      <c r="AT522" s="20"/>
      <c r="AU522" s="20"/>
      <c r="AV522" s="20"/>
      <c r="AW522" s="20"/>
      <c r="AX522" s="20"/>
      <c r="AY522" s="20"/>
      <c r="AZ522" s="20"/>
    </row>
    <row r="523" ht="15.75" customHeight="1">
      <c r="I523" s="77"/>
      <c r="AS523" s="20"/>
      <c r="AT523" s="20"/>
      <c r="AU523" s="20"/>
      <c r="AV523" s="20"/>
      <c r="AW523" s="20"/>
      <c r="AX523" s="20"/>
      <c r="AY523" s="20"/>
      <c r="AZ523" s="20"/>
    </row>
    <row r="524" ht="15.75" customHeight="1">
      <c r="I524" s="77"/>
      <c r="AS524" s="20"/>
      <c r="AT524" s="20"/>
      <c r="AU524" s="20"/>
      <c r="AV524" s="20"/>
      <c r="AW524" s="20"/>
      <c r="AX524" s="20"/>
      <c r="AY524" s="20"/>
      <c r="AZ524" s="20"/>
    </row>
    <row r="525" ht="15.75" customHeight="1">
      <c r="I525" s="77"/>
      <c r="AS525" s="20"/>
      <c r="AT525" s="20"/>
      <c r="AU525" s="20"/>
      <c r="AV525" s="20"/>
      <c r="AW525" s="20"/>
      <c r="AX525" s="20"/>
      <c r="AY525" s="20"/>
      <c r="AZ525" s="20"/>
    </row>
    <row r="526" ht="15.75" customHeight="1">
      <c r="I526" s="77"/>
      <c r="AS526" s="20"/>
      <c r="AT526" s="20"/>
      <c r="AU526" s="20"/>
      <c r="AV526" s="20"/>
      <c r="AW526" s="20"/>
      <c r="AX526" s="20"/>
      <c r="AY526" s="20"/>
      <c r="AZ526" s="20"/>
    </row>
    <row r="527" ht="15.75" customHeight="1">
      <c r="I527" s="77"/>
      <c r="AS527" s="20"/>
      <c r="AT527" s="20"/>
      <c r="AU527" s="20"/>
      <c r="AV527" s="20"/>
      <c r="AW527" s="20"/>
      <c r="AX527" s="20"/>
      <c r="AY527" s="20"/>
      <c r="AZ527" s="20"/>
    </row>
    <row r="528" ht="15.75" customHeight="1">
      <c r="I528" s="77"/>
      <c r="AS528" s="20"/>
      <c r="AT528" s="20"/>
      <c r="AU528" s="20"/>
      <c r="AV528" s="20"/>
      <c r="AW528" s="20"/>
      <c r="AX528" s="20"/>
      <c r="AY528" s="20"/>
      <c r="AZ528" s="20"/>
    </row>
    <row r="529" ht="15.75" customHeight="1">
      <c r="I529" s="77"/>
      <c r="AS529" s="20"/>
      <c r="AT529" s="20"/>
      <c r="AU529" s="20"/>
      <c r="AV529" s="20"/>
      <c r="AW529" s="20"/>
      <c r="AX529" s="20"/>
      <c r="AY529" s="20"/>
      <c r="AZ529" s="20"/>
    </row>
    <row r="530" ht="15.75" customHeight="1">
      <c r="I530" s="77"/>
      <c r="AS530" s="20"/>
      <c r="AT530" s="20"/>
      <c r="AU530" s="20"/>
      <c r="AV530" s="20"/>
      <c r="AW530" s="20"/>
      <c r="AX530" s="20"/>
      <c r="AY530" s="20"/>
      <c r="AZ530" s="20"/>
    </row>
    <row r="531" ht="15.75" customHeight="1">
      <c r="I531" s="77"/>
      <c r="AS531" s="20"/>
      <c r="AT531" s="20"/>
      <c r="AU531" s="20"/>
      <c r="AV531" s="20"/>
      <c r="AW531" s="20"/>
      <c r="AX531" s="20"/>
      <c r="AY531" s="20"/>
      <c r="AZ531" s="20"/>
    </row>
    <row r="532" ht="15.75" customHeight="1">
      <c r="I532" s="77"/>
      <c r="AS532" s="20"/>
      <c r="AT532" s="20"/>
      <c r="AU532" s="20"/>
      <c r="AV532" s="20"/>
      <c r="AW532" s="20"/>
      <c r="AX532" s="20"/>
      <c r="AY532" s="20"/>
      <c r="AZ532" s="20"/>
    </row>
    <row r="533" ht="15.75" customHeight="1">
      <c r="I533" s="77"/>
      <c r="AS533" s="20"/>
      <c r="AT533" s="20"/>
      <c r="AU533" s="20"/>
      <c r="AV533" s="20"/>
      <c r="AW533" s="20"/>
      <c r="AX533" s="20"/>
      <c r="AY533" s="20"/>
      <c r="AZ533" s="20"/>
    </row>
    <row r="534" ht="15.75" customHeight="1">
      <c r="I534" s="77"/>
      <c r="AS534" s="20"/>
      <c r="AT534" s="20"/>
      <c r="AU534" s="20"/>
      <c r="AV534" s="20"/>
      <c r="AW534" s="20"/>
      <c r="AX534" s="20"/>
      <c r="AY534" s="20"/>
      <c r="AZ534" s="20"/>
    </row>
    <row r="535" ht="15.75" customHeight="1">
      <c r="I535" s="77"/>
      <c r="AS535" s="20"/>
      <c r="AT535" s="20"/>
      <c r="AU535" s="20"/>
      <c r="AV535" s="20"/>
      <c r="AW535" s="20"/>
      <c r="AX535" s="20"/>
      <c r="AY535" s="20"/>
      <c r="AZ535" s="20"/>
    </row>
    <row r="536" ht="15.75" customHeight="1">
      <c r="I536" s="77"/>
      <c r="AS536" s="20"/>
      <c r="AT536" s="20"/>
      <c r="AU536" s="20"/>
      <c r="AV536" s="20"/>
      <c r="AW536" s="20"/>
      <c r="AX536" s="20"/>
      <c r="AY536" s="20"/>
      <c r="AZ536" s="20"/>
    </row>
    <row r="537" ht="15.75" customHeight="1">
      <c r="I537" s="77"/>
      <c r="AS537" s="20"/>
      <c r="AT537" s="20"/>
      <c r="AU537" s="20"/>
      <c r="AV537" s="20"/>
      <c r="AW537" s="20"/>
      <c r="AX537" s="20"/>
      <c r="AY537" s="20"/>
      <c r="AZ537" s="20"/>
    </row>
    <row r="538" ht="15.75" customHeight="1">
      <c r="I538" s="77"/>
      <c r="AS538" s="20"/>
      <c r="AT538" s="20"/>
      <c r="AU538" s="20"/>
      <c r="AV538" s="20"/>
      <c r="AW538" s="20"/>
      <c r="AX538" s="20"/>
      <c r="AY538" s="20"/>
      <c r="AZ538" s="20"/>
    </row>
    <row r="539" ht="15.75" customHeight="1">
      <c r="I539" s="77"/>
      <c r="AS539" s="20"/>
      <c r="AT539" s="20"/>
      <c r="AU539" s="20"/>
      <c r="AV539" s="20"/>
      <c r="AW539" s="20"/>
      <c r="AX539" s="20"/>
      <c r="AY539" s="20"/>
      <c r="AZ539" s="20"/>
    </row>
    <row r="540" ht="15.75" customHeight="1">
      <c r="I540" s="77"/>
      <c r="AS540" s="20"/>
      <c r="AT540" s="20"/>
      <c r="AU540" s="20"/>
      <c r="AV540" s="20"/>
      <c r="AW540" s="20"/>
      <c r="AX540" s="20"/>
      <c r="AY540" s="20"/>
      <c r="AZ540" s="20"/>
    </row>
    <row r="541" ht="15.75" customHeight="1">
      <c r="I541" s="77"/>
      <c r="AS541" s="20"/>
      <c r="AT541" s="20"/>
      <c r="AU541" s="20"/>
      <c r="AV541" s="20"/>
      <c r="AW541" s="20"/>
      <c r="AX541" s="20"/>
      <c r="AY541" s="20"/>
      <c r="AZ541" s="20"/>
    </row>
    <row r="542" ht="15.75" customHeight="1">
      <c r="I542" s="77"/>
      <c r="AS542" s="20"/>
      <c r="AT542" s="20"/>
      <c r="AU542" s="20"/>
      <c r="AV542" s="20"/>
      <c r="AW542" s="20"/>
      <c r="AX542" s="20"/>
      <c r="AY542" s="20"/>
      <c r="AZ542" s="20"/>
    </row>
    <row r="543" ht="15.75" customHeight="1">
      <c r="I543" s="77"/>
      <c r="AS543" s="20"/>
      <c r="AT543" s="20"/>
      <c r="AU543" s="20"/>
      <c r="AV543" s="20"/>
      <c r="AW543" s="20"/>
      <c r="AX543" s="20"/>
      <c r="AY543" s="20"/>
      <c r="AZ543" s="20"/>
    </row>
    <row r="544" ht="15.75" customHeight="1">
      <c r="I544" s="77"/>
      <c r="AS544" s="20"/>
      <c r="AT544" s="20"/>
      <c r="AU544" s="20"/>
      <c r="AV544" s="20"/>
      <c r="AW544" s="20"/>
      <c r="AX544" s="20"/>
      <c r="AY544" s="20"/>
      <c r="AZ544" s="20"/>
    </row>
    <row r="545" ht="15.75" customHeight="1">
      <c r="I545" s="77"/>
      <c r="AS545" s="20"/>
      <c r="AT545" s="20"/>
      <c r="AU545" s="20"/>
      <c r="AV545" s="20"/>
      <c r="AW545" s="20"/>
      <c r="AX545" s="20"/>
      <c r="AY545" s="20"/>
      <c r="AZ545" s="20"/>
    </row>
    <row r="546" ht="15.75" customHeight="1">
      <c r="I546" s="77"/>
      <c r="AS546" s="20"/>
      <c r="AT546" s="20"/>
      <c r="AU546" s="20"/>
      <c r="AV546" s="20"/>
      <c r="AW546" s="20"/>
      <c r="AX546" s="20"/>
      <c r="AY546" s="20"/>
      <c r="AZ546" s="20"/>
    </row>
    <row r="547" ht="15.75" customHeight="1">
      <c r="I547" s="77"/>
      <c r="AS547" s="20"/>
      <c r="AT547" s="20"/>
      <c r="AU547" s="20"/>
      <c r="AV547" s="20"/>
      <c r="AW547" s="20"/>
      <c r="AX547" s="20"/>
      <c r="AY547" s="20"/>
      <c r="AZ547" s="20"/>
    </row>
    <row r="548" ht="15.75" customHeight="1">
      <c r="I548" s="77"/>
      <c r="AS548" s="20"/>
      <c r="AT548" s="20"/>
      <c r="AU548" s="20"/>
      <c r="AV548" s="20"/>
      <c r="AW548" s="20"/>
      <c r="AX548" s="20"/>
      <c r="AY548" s="20"/>
      <c r="AZ548" s="20"/>
    </row>
    <row r="549" ht="15.75" customHeight="1">
      <c r="I549" s="77"/>
      <c r="AS549" s="20"/>
      <c r="AT549" s="20"/>
      <c r="AU549" s="20"/>
      <c r="AV549" s="20"/>
      <c r="AW549" s="20"/>
      <c r="AX549" s="20"/>
      <c r="AY549" s="20"/>
      <c r="AZ549" s="20"/>
    </row>
    <row r="550" ht="15.75" customHeight="1">
      <c r="I550" s="77"/>
      <c r="AS550" s="20"/>
      <c r="AT550" s="20"/>
      <c r="AU550" s="20"/>
      <c r="AV550" s="20"/>
      <c r="AW550" s="20"/>
      <c r="AX550" s="20"/>
      <c r="AY550" s="20"/>
      <c r="AZ550" s="20"/>
    </row>
    <row r="551" ht="15.75" customHeight="1">
      <c r="I551" s="77"/>
      <c r="AS551" s="20"/>
      <c r="AT551" s="20"/>
      <c r="AU551" s="20"/>
      <c r="AV551" s="20"/>
      <c r="AW551" s="20"/>
      <c r="AX551" s="20"/>
      <c r="AY551" s="20"/>
      <c r="AZ551" s="20"/>
    </row>
    <row r="552" ht="15.75" customHeight="1">
      <c r="I552" s="77"/>
      <c r="AS552" s="20"/>
      <c r="AT552" s="20"/>
      <c r="AU552" s="20"/>
      <c r="AV552" s="20"/>
      <c r="AW552" s="20"/>
      <c r="AX552" s="20"/>
      <c r="AY552" s="20"/>
      <c r="AZ552" s="20"/>
    </row>
    <row r="553" ht="15.75" customHeight="1">
      <c r="I553" s="77"/>
      <c r="AS553" s="20"/>
      <c r="AT553" s="20"/>
      <c r="AU553" s="20"/>
      <c r="AV553" s="20"/>
      <c r="AW553" s="20"/>
      <c r="AX553" s="20"/>
      <c r="AY553" s="20"/>
      <c r="AZ553" s="20"/>
    </row>
    <row r="554" ht="15.75" customHeight="1">
      <c r="I554" s="77"/>
      <c r="AS554" s="20"/>
      <c r="AT554" s="20"/>
      <c r="AU554" s="20"/>
      <c r="AV554" s="20"/>
      <c r="AW554" s="20"/>
      <c r="AX554" s="20"/>
      <c r="AY554" s="20"/>
      <c r="AZ554" s="20"/>
    </row>
    <row r="555" ht="15.75" customHeight="1">
      <c r="I555" s="77"/>
      <c r="AS555" s="20"/>
      <c r="AT555" s="20"/>
      <c r="AU555" s="20"/>
      <c r="AV555" s="20"/>
      <c r="AW555" s="20"/>
      <c r="AX555" s="20"/>
      <c r="AY555" s="20"/>
      <c r="AZ555" s="20"/>
    </row>
    <row r="556" ht="15.75" customHeight="1">
      <c r="I556" s="77"/>
      <c r="AS556" s="20"/>
      <c r="AT556" s="20"/>
      <c r="AU556" s="20"/>
      <c r="AV556" s="20"/>
      <c r="AW556" s="20"/>
      <c r="AX556" s="20"/>
      <c r="AY556" s="20"/>
      <c r="AZ556" s="20"/>
    </row>
    <row r="557" ht="15.75" customHeight="1">
      <c r="I557" s="77"/>
      <c r="AS557" s="20"/>
      <c r="AT557" s="20"/>
      <c r="AU557" s="20"/>
      <c r="AV557" s="20"/>
      <c r="AW557" s="20"/>
      <c r="AX557" s="20"/>
      <c r="AY557" s="20"/>
      <c r="AZ557" s="20"/>
    </row>
    <row r="558" ht="15.75" customHeight="1">
      <c r="I558" s="77"/>
      <c r="AS558" s="20"/>
      <c r="AT558" s="20"/>
      <c r="AU558" s="20"/>
      <c r="AV558" s="20"/>
      <c r="AW558" s="20"/>
      <c r="AX558" s="20"/>
      <c r="AY558" s="20"/>
      <c r="AZ558" s="20"/>
    </row>
    <row r="559" ht="15.75" customHeight="1">
      <c r="I559" s="77"/>
      <c r="AS559" s="20"/>
      <c r="AT559" s="20"/>
      <c r="AU559" s="20"/>
      <c r="AV559" s="20"/>
      <c r="AW559" s="20"/>
      <c r="AX559" s="20"/>
      <c r="AY559" s="20"/>
      <c r="AZ559" s="20"/>
    </row>
    <row r="560" ht="15.75" customHeight="1">
      <c r="I560" s="77"/>
      <c r="AS560" s="20"/>
      <c r="AT560" s="20"/>
      <c r="AU560" s="20"/>
      <c r="AV560" s="20"/>
      <c r="AW560" s="20"/>
      <c r="AX560" s="20"/>
      <c r="AY560" s="20"/>
      <c r="AZ560" s="20"/>
    </row>
    <row r="561" ht="15.75" customHeight="1">
      <c r="I561" s="77"/>
      <c r="AS561" s="20"/>
      <c r="AT561" s="20"/>
      <c r="AU561" s="20"/>
      <c r="AV561" s="20"/>
      <c r="AW561" s="20"/>
      <c r="AX561" s="20"/>
      <c r="AY561" s="20"/>
      <c r="AZ561" s="20"/>
    </row>
    <row r="562" ht="15.75" customHeight="1">
      <c r="I562" s="77"/>
      <c r="AS562" s="20"/>
      <c r="AT562" s="20"/>
      <c r="AU562" s="20"/>
      <c r="AV562" s="20"/>
      <c r="AW562" s="20"/>
      <c r="AX562" s="20"/>
      <c r="AY562" s="20"/>
      <c r="AZ562" s="20"/>
    </row>
    <row r="563" ht="15.75" customHeight="1">
      <c r="I563" s="77"/>
      <c r="AS563" s="20"/>
      <c r="AT563" s="20"/>
      <c r="AU563" s="20"/>
      <c r="AV563" s="20"/>
      <c r="AW563" s="20"/>
      <c r="AX563" s="20"/>
      <c r="AY563" s="20"/>
      <c r="AZ563" s="20"/>
    </row>
    <row r="564" ht="15.75" customHeight="1">
      <c r="I564" s="77"/>
      <c r="AS564" s="20"/>
      <c r="AT564" s="20"/>
      <c r="AU564" s="20"/>
      <c r="AV564" s="20"/>
      <c r="AW564" s="20"/>
      <c r="AX564" s="20"/>
      <c r="AY564" s="20"/>
      <c r="AZ564" s="20"/>
    </row>
    <row r="565" ht="15.75" customHeight="1">
      <c r="I565" s="77"/>
      <c r="AS565" s="20"/>
      <c r="AT565" s="20"/>
      <c r="AU565" s="20"/>
      <c r="AV565" s="20"/>
      <c r="AW565" s="20"/>
      <c r="AX565" s="20"/>
      <c r="AY565" s="20"/>
      <c r="AZ565" s="20"/>
    </row>
    <row r="566" ht="15.75" customHeight="1">
      <c r="I566" s="77"/>
      <c r="AS566" s="20"/>
      <c r="AT566" s="20"/>
      <c r="AU566" s="20"/>
      <c r="AV566" s="20"/>
      <c r="AW566" s="20"/>
      <c r="AX566" s="20"/>
      <c r="AY566" s="20"/>
      <c r="AZ566" s="20"/>
    </row>
    <row r="567" ht="15.75" customHeight="1">
      <c r="I567" s="77"/>
      <c r="AS567" s="20"/>
      <c r="AT567" s="20"/>
      <c r="AU567" s="20"/>
      <c r="AV567" s="20"/>
      <c r="AW567" s="20"/>
      <c r="AX567" s="20"/>
      <c r="AY567" s="20"/>
      <c r="AZ567" s="20"/>
    </row>
    <row r="568" ht="15.75" customHeight="1">
      <c r="I568" s="77"/>
      <c r="AS568" s="20"/>
      <c r="AT568" s="20"/>
      <c r="AU568" s="20"/>
      <c r="AV568" s="20"/>
      <c r="AW568" s="20"/>
      <c r="AX568" s="20"/>
      <c r="AY568" s="20"/>
      <c r="AZ568" s="20"/>
    </row>
    <row r="569" ht="15.75" customHeight="1">
      <c r="I569" s="77"/>
      <c r="AS569" s="20"/>
      <c r="AT569" s="20"/>
      <c r="AU569" s="20"/>
      <c r="AV569" s="20"/>
      <c r="AW569" s="20"/>
      <c r="AX569" s="20"/>
      <c r="AY569" s="20"/>
      <c r="AZ569" s="20"/>
    </row>
    <row r="570" ht="15.75" customHeight="1">
      <c r="I570" s="77"/>
      <c r="AS570" s="20"/>
      <c r="AT570" s="20"/>
      <c r="AU570" s="20"/>
      <c r="AV570" s="20"/>
      <c r="AW570" s="20"/>
      <c r="AX570" s="20"/>
      <c r="AY570" s="20"/>
      <c r="AZ570" s="20"/>
    </row>
    <row r="571" ht="15.75" customHeight="1">
      <c r="I571" s="77"/>
      <c r="AS571" s="20"/>
      <c r="AT571" s="20"/>
      <c r="AU571" s="20"/>
      <c r="AV571" s="20"/>
      <c r="AW571" s="20"/>
      <c r="AX571" s="20"/>
      <c r="AY571" s="20"/>
      <c r="AZ571" s="20"/>
    </row>
    <row r="572" ht="15.75" customHeight="1">
      <c r="I572" s="77"/>
      <c r="AS572" s="20"/>
      <c r="AT572" s="20"/>
      <c r="AU572" s="20"/>
      <c r="AV572" s="20"/>
      <c r="AW572" s="20"/>
      <c r="AX572" s="20"/>
      <c r="AY572" s="20"/>
      <c r="AZ572" s="20"/>
    </row>
    <row r="573" ht="15.75" customHeight="1">
      <c r="I573" s="77"/>
      <c r="AS573" s="20"/>
      <c r="AT573" s="20"/>
      <c r="AU573" s="20"/>
      <c r="AV573" s="20"/>
      <c r="AW573" s="20"/>
      <c r="AX573" s="20"/>
      <c r="AY573" s="20"/>
      <c r="AZ573" s="20"/>
    </row>
    <row r="574" ht="15.75" customHeight="1">
      <c r="I574" s="77"/>
      <c r="AS574" s="20"/>
      <c r="AT574" s="20"/>
      <c r="AU574" s="20"/>
      <c r="AV574" s="20"/>
      <c r="AW574" s="20"/>
      <c r="AX574" s="20"/>
      <c r="AY574" s="20"/>
      <c r="AZ574" s="20"/>
    </row>
    <row r="575" ht="15.75" customHeight="1">
      <c r="I575" s="77"/>
      <c r="AS575" s="20"/>
      <c r="AT575" s="20"/>
      <c r="AU575" s="20"/>
      <c r="AV575" s="20"/>
      <c r="AW575" s="20"/>
      <c r="AX575" s="20"/>
      <c r="AY575" s="20"/>
      <c r="AZ575" s="20"/>
    </row>
    <row r="576" ht="15.75" customHeight="1">
      <c r="I576" s="77"/>
      <c r="AS576" s="20"/>
      <c r="AT576" s="20"/>
      <c r="AU576" s="20"/>
      <c r="AV576" s="20"/>
      <c r="AW576" s="20"/>
      <c r="AX576" s="20"/>
      <c r="AY576" s="20"/>
      <c r="AZ576" s="20"/>
    </row>
    <row r="577" ht="15.75" customHeight="1">
      <c r="I577" s="77"/>
      <c r="AS577" s="20"/>
      <c r="AT577" s="20"/>
      <c r="AU577" s="20"/>
      <c r="AV577" s="20"/>
      <c r="AW577" s="20"/>
      <c r="AX577" s="20"/>
      <c r="AY577" s="20"/>
      <c r="AZ577" s="20"/>
    </row>
    <row r="578" ht="15.75" customHeight="1">
      <c r="I578" s="77"/>
      <c r="AS578" s="20"/>
      <c r="AT578" s="20"/>
      <c r="AU578" s="20"/>
      <c r="AV578" s="20"/>
      <c r="AW578" s="20"/>
      <c r="AX578" s="20"/>
      <c r="AY578" s="20"/>
      <c r="AZ578" s="20"/>
    </row>
    <row r="579" ht="15.75" customHeight="1">
      <c r="I579" s="77"/>
      <c r="AS579" s="20"/>
      <c r="AT579" s="20"/>
      <c r="AU579" s="20"/>
      <c r="AV579" s="20"/>
      <c r="AW579" s="20"/>
      <c r="AX579" s="20"/>
      <c r="AY579" s="20"/>
      <c r="AZ579" s="20"/>
    </row>
    <row r="580" ht="15.75" customHeight="1">
      <c r="I580" s="77"/>
      <c r="AS580" s="20"/>
      <c r="AT580" s="20"/>
      <c r="AU580" s="20"/>
      <c r="AV580" s="20"/>
      <c r="AW580" s="20"/>
      <c r="AX580" s="20"/>
      <c r="AY580" s="20"/>
      <c r="AZ580" s="20"/>
    </row>
    <row r="581" ht="15.75" customHeight="1">
      <c r="I581" s="77"/>
      <c r="AS581" s="20"/>
      <c r="AT581" s="20"/>
      <c r="AU581" s="20"/>
      <c r="AV581" s="20"/>
      <c r="AW581" s="20"/>
      <c r="AX581" s="20"/>
      <c r="AY581" s="20"/>
      <c r="AZ581" s="20"/>
    </row>
    <row r="582" ht="15.75" customHeight="1">
      <c r="I582" s="77"/>
      <c r="AS582" s="20"/>
      <c r="AT582" s="20"/>
      <c r="AU582" s="20"/>
      <c r="AV582" s="20"/>
      <c r="AW582" s="20"/>
      <c r="AX582" s="20"/>
      <c r="AY582" s="20"/>
      <c r="AZ582" s="20"/>
    </row>
    <row r="583" ht="15.75" customHeight="1">
      <c r="I583" s="77"/>
      <c r="AS583" s="20"/>
      <c r="AT583" s="20"/>
      <c r="AU583" s="20"/>
      <c r="AV583" s="20"/>
      <c r="AW583" s="20"/>
      <c r="AX583" s="20"/>
      <c r="AY583" s="20"/>
      <c r="AZ583" s="20"/>
    </row>
    <row r="584" ht="15.75" customHeight="1">
      <c r="I584" s="77"/>
      <c r="AS584" s="20"/>
      <c r="AT584" s="20"/>
      <c r="AU584" s="20"/>
      <c r="AV584" s="20"/>
      <c r="AW584" s="20"/>
      <c r="AX584" s="20"/>
      <c r="AY584" s="20"/>
      <c r="AZ584" s="20"/>
    </row>
    <row r="585" ht="15.75" customHeight="1">
      <c r="I585" s="77"/>
      <c r="AS585" s="20"/>
      <c r="AT585" s="20"/>
      <c r="AU585" s="20"/>
      <c r="AV585" s="20"/>
      <c r="AW585" s="20"/>
      <c r="AX585" s="20"/>
      <c r="AY585" s="20"/>
      <c r="AZ585" s="20"/>
    </row>
    <row r="586" ht="15.75" customHeight="1">
      <c r="I586" s="77"/>
      <c r="AS586" s="20"/>
      <c r="AT586" s="20"/>
      <c r="AU586" s="20"/>
      <c r="AV586" s="20"/>
      <c r="AW586" s="20"/>
      <c r="AX586" s="20"/>
      <c r="AY586" s="20"/>
      <c r="AZ586" s="20"/>
    </row>
    <row r="587" ht="15.75" customHeight="1">
      <c r="I587" s="77"/>
      <c r="AS587" s="20"/>
      <c r="AT587" s="20"/>
      <c r="AU587" s="20"/>
      <c r="AV587" s="20"/>
      <c r="AW587" s="20"/>
      <c r="AX587" s="20"/>
      <c r="AY587" s="20"/>
      <c r="AZ587" s="20"/>
    </row>
    <row r="588" ht="15.75" customHeight="1">
      <c r="I588" s="77"/>
      <c r="AS588" s="20"/>
      <c r="AT588" s="20"/>
      <c r="AU588" s="20"/>
      <c r="AV588" s="20"/>
      <c r="AW588" s="20"/>
      <c r="AX588" s="20"/>
      <c r="AY588" s="20"/>
      <c r="AZ588" s="20"/>
    </row>
    <row r="589" ht="15.75" customHeight="1">
      <c r="I589" s="77"/>
      <c r="AS589" s="20"/>
      <c r="AT589" s="20"/>
      <c r="AU589" s="20"/>
      <c r="AV589" s="20"/>
      <c r="AW589" s="20"/>
      <c r="AX589" s="20"/>
      <c r="AY589" s="20"/>
      <c r="AZ589" s="20"/>
    </row>
    <row r="590" ht="15.75" customHeight="1">
      <c r="I590" s="77"/>
      <c r="AS590" s="20"/>
      <c r="AT590" s="20"/>
      <c r="AU590" s="20"/>
      <c r="AV590" s="20"/>
      <c r="AW590" s="20"/>
      <c r="AX590" s="20"/>
      <c r="AY590" s="20"/>
      <c r="AZ590" s="20"/>
    </row>
    <row r="591" ht="15.75" customHeight="1">
      <c r="I591" s="77"/>
      <c r="AS591" s="20"/>
      <c r="AT591" s="20"/>
      <c r="AU591" s="20"/>
      <c r="AV591" s="20"/>
      <c r="AW591" s="20"/>
      <c r="AX591" s="20"/>
      <c r="AY591" s="20"/>
      <c r="AZ591" s="20"/>
    </row>
    <row r="592" ht="15.75" customHeight="1">
      <c r="I592" s="77"/>
      <c r="AS592" s="20"/>
      <c r="AT592" s="20"/>
      <c r="AU592" s="20"/>
      <c r="AV592" s="20"/>
      <c r="AW592" s="20"/>
      <c r="AX592" s="20"/>
      <c r="AY592" s="20"/>
      <c r="AZ592" s="20"/>
    </row>
    <row r="593" ht="15.75" customHeight="1">
      <c r="I593" s="77"/>
      <c r="AS593" s="20"/>
      <c r="AT593" s="20"/>
      <c r="AU593" s="20"/>
      <c r="AV593" s="20"/>
      <c r="AW593" s="20"/>
      <c r="AX593" s="20"/>
      <c r="AY593" s="20"/>
      <c r="AZ593" s="20"/>
    </row>
    <row r="594" ht="15.75" customHeight="1">
      <c r="I594" s="77"/>
      <c r="AS594" s="20"/>
      <c r="AT594" s="20"/>
      <c r="AU594" s="20"/>
      <c r="AV594" s="20"/>
      <c r="AW594" s="20"/>
      <c r="AX594" s="20"/>
      <c r="AY594" s="20"/>
      <c r="AZ594" s="20"/>
    </row>
    <row r="595" ht="15.75" customHeight="1">
      <c r="I595" s="77"/>
      <c r="AS595" s="20"/>
      <c r="AT595" s="20"/>
      <c r="AU595" s="20"/>
      <c r="AV595" s="20"/>
      <c r="AW595" s="20"/>
      <c r="AX595" s="20"/>
      <c r="AY595" s="20"/>
      <c r="AZ595" s="20"/>
    </row>
    <row r="596" ht="15.75" customHeight="1">
      <c r="I596" s="77"/>
      <c r="AS596" s="20"/>
      <c r="AT596" s="20"/>
      <c r="AU596" s="20"/>
      <c r="AV596" s="20"/>
      <c r="AW596" s="20"/>
      <c r="AX596" s="20"/>
      <c r="AY596" s="20"/>
      <c r="AZ596" s="20"/>
    </row>
    <row r="597" ht="15.75" customHeight="1">
      <c r="I597" s="77"/>
      <c r="AS597" s="20"/>
      <c r="AT597" s="20"/>
      <c r="AU597" s="20"/>
      <c r="AV597" s="20"/>
      <c r="AW597" s="20"/>
      <c r="AX597" s="20"/>
      <c r="AY597" s="20"/>
      <c r="AZ597" s="20"/>
    </row>
    <row r="598" ht="15.75" customHeight="1">
      <c r="I598" s="77"/>
      <c r="AS598" s="20"/>
      <c r="AT598" s="20"/>
      <c r="AU598" s="20"/>
      <c r="AV598" s="20"/>
      <c r="AW598" s="20"/>
      <c r="AX598" s="20"/>
      <c r="AY598" s="20"/>
      <c r="AZ598" s="20"/>
    </row>
    <row r="599" ht="15.75" customHeight="1">
      <c r="I599" s="77"/>
      <c r="AS599" s="20"/>
      <c r="AT599" s="20"/>
      <c r="AU599" s="20"/>
      <c r="AV599" s="20"/>
      <c r="AW599" s="20"/>
      <c r="AX599" s="20"/>
      <c r="AY599" s="20"/>
      <c r="AZ599" s="20"/>
    </row>
    <row r="600" ht="15.75" customHeight="1">
      <c r="I600" s="77"/>
      <c r="AS600" s="20"/>
      <c r="AT600" s="20"/>
      <c r="AU600" s="20"/>
      <c r="AV600" s="20"/>
      <c r="AW600" s="20"/>
      <c r="AX600" s="20"/>
      <c r="AY600" s="20"/>
      <c r="AZ600" s="20"/>
    </row>
    <row r="601" ht="15.75" customHeight="1">
      <c r="I601" s="77"/>
      <c r="AS601" s="20"/>
      <c r="AT601" s="20"/>
      <c r="AU601" s="20"/>
      <c r="AV601" s="20"/>
      <c r="AW601" s="20"/>
      <c r="AX601" s="20"/>
      <c r="AY601" s="20"/>
      <c r="AZ601" s="20"/>
    </row>
    <row r="602" ht="15.75" customHeight="1">
      <c r="I602" s="77"/>
      <c r="AS602" s="20"/>
      <c r="AT602" s="20"/>
      <c r="AU602" s="20"/>
      <c r="AV602" s="20"/>
      <c r="AW602" s="20"/>
      <c r="AX602" s="20"/>
      <c r="AY602" s="20"/>
      <c r="AZ602" s="20"/>
    </row>
    <row r="603" ht="15.75" customHeight="1">
      <c r="I603" s="77"/>
      <c r="AS603" s="20"/>
      <c r="AT603" s="20"/>
      <c r="AU603" s="20"/>
      <c r="AV603" s="20"/>
      <c r="AW603" s="20"/>
      <c r="AX603" s="20"/>
      <c r="AY603" s="20"/>
      <c r="AZ603" s="20"/>
    </row>
    <row r="604" ht="15.75" customHeight="1">
      <c r="I604" s="77"/>
      <c r="AS604" s="20"/>
      <c r="AT604" s="20"/>
      <c r="AU604" s="20"/>
      <c r="AV604" s="20"/>
      <c r="AW604" s="20"/>
      <c r="AX604" s="20"/>
      <c r="AY604" s="20"/>
      <c r="AZ604" s="20"/>
    </row>
    <row r="605" ht="15.75" customHeight="1">
      <c r="I605" s="77"/>
      <c r="AS605" s="20"/>
      <c r="AT605" s="20"/>
      <c r="AU605" s="20"/>
      <c r="AV605" s="20"/>
      <c r="AW605" s="20"/>
      <c r="AX605" s="20"/>
      <c r="AY605" s="20"/>
      <c r="AZ605" s="20"/>
    </row>
    <row r="606" ht="15.75" customHeight="1">
      <c r="I606" s="77"/>
      <c r="AS606" s="20"/>
      <c r="AT606" s="20"/>
      <c r="AU606" s="20"/>
      <c r="AV606" s="20"/>
      <c r="AW606" s="20"/>
      <c r="AX606" s="20"/>
      <c r="AY606" s="20"/>
      <c r="AZ606" s="20"/>
    </row>
    <row r="607" ht="15.75" customHeight="1">
      <c r="I607" s="77"/>
      <c r="AS607" s="20"/>
      <c r="AT607" s="20"/>
      <c r="AU607" s="20"/>
      <c r="AV607" s="20"/>
      <c r="AW607" s="20"/>
      <c r="AX607" s="20"/>
      <c r="AY607" s="20"/>
      <c r="AZ607" s="20"/>
    </row>
    <row r="608" ht="15.75" customHeight="1">
      <c r="I608" s="77"/>
      <c r="AS608" s="20"/>
      <c r="AT608" s="20"/>
      <c r="AU608" s="20"/>
      <c r="AV608" s="20"/>
      <c r="AW608" s="20"/>
      <c r="AX608" s="20"/>
      <c r="AY608" s="20"/>
      <c r="AZ608" s="20"/>
    </row>
    <row r="609" ht="15.75" customHeight="1">
      <c r="I609" s="77"/>
      <c r="AS609" s="20"/>
      <c r="AT609" s="20"/>
      <c r="AU609" s="20"/>
      <c r="AV609" s="20"/>
      <c r="AW609" s="20"/>
      <c r="AX609" s="20"/>
      <c r="AY609" s="20"/>
      <c r="AZ609" s="20"/>
    </row>
    <row r="610" ht="15.75" customHeight="1">
      <c r="I610" s="77"/>
      <c r="AS610" s="20"/>
      <c r="AT610" s="20"/>
      <c r="AU610" s="20"/>
      <c r="AV610" s="20"/>
      <c r="AW610" s="20"/>
      <c r="AX610" s="20"/>
      <c r="AY610" s="20"/>
      <c r="AZ610" s="20"/>
    </row>
    <row r="611" ht="15.75" customHeight="1">
      <c r="I611" s="77"/>
      <c r="AS611" s="20"/>
      <c r="AT611" s="20"/>
      <c r="AU611" s="20"/>
      <c r="AV611" s="20"/>
      <c r="AW611" s="20"/>
      <c r="AX611" s="20"/>
      <c r="AY611" s="20"/>
      <c r="AZ611" s="20"/>
    </row>
    <row r="612" ht="15.75" customHeight="1">
      <c r="I612" s="77"/>
      <c r="AS612" s="20"/>
      <c r="AT612" s="20"/>
      <c r="AU612" s="20"/>
      <c r="AV612" s="20"/>
      <c r="AW612" s="20"/>
      <c r="AX612" s="20"/>
      <c r="AY612" s="20"/>
      <c r="AZ612" s="20"/>
    </row>
    <row r="613" ht="15.75" customHeight="1">
      <c r="I613" s="77"/>
      <c r="AS613" s="20"/>
      <c r="AT613" s="20"/>
      <c r="AU613" s="20"/>
      <c r="AV613" s="20"/>
      <c r="AW613" s="20"/>
      <c r="AX613" s="20"/>
      <c r="AY613" s="20"/>
      <c r="AZ613" s="20"/>
    </row>
    <row r="614" ht="15.75" customHeight="1">
      <c r="I614" s="77"/>
      <c r="AS614" s="20"/>
      <c r="AT614" s="20"/>
      <c r="AU614" s="20"/>
      <c r="AV614" s="20"/>
      <c r="AW614" s="20"/>
      <c r="AX614" s="20"/>
      <c r="AY614" s="20"/>
      <c r="AZ614" s="20"/>
    </row>
    <row r="615" ht="15.75" customHeight="1">
      <c r="I615" s="77"/>
      <c r="AS615" s="20"/>
      <c r="AT615" s="20"/>
      <c r="AU615" s="20"/>
      <c r="AV615" s="20"/>
      <c r="AW615" s="20"/>
      <c r="AX615" s="20"/>
      <c r="AY615" s="20"/>
      <c r="AZ615" s="20"/>
    </row>
    <row r="616" ht="15.75" customHeight="1">
      <c r="I616" s="77"/>
      <c r="AS616" s="20"/>
      <c r="AT616" s="20"/>
      <c r="AU616" s="20"/>
      <c r="AV616" s="20"/>
      <c r="AW616" s="20"/>
      <c r="AX616" s="20"/>
      <c r="AY616" s="20"/>
      <c r="AZ616" s="20"/>
    </row>
    <row r="617" ht="15.75" customHeight="1">
      <c r="I617" s="77"/>
      <c r="AS617" s="20"/>
      <c r="AT617" s="20"/>
      <c r="AU617" s="20"/>
      <c r="AV617" s="20"/>
      <c r="AW617" s="20"/>
      <c r="AX617" s="20"/>
      <c r="AY617" s="20"/>
      <c r="AZ617" s="20"/>
    </row>
    <row r="618" ht="15.75" customHeight="1">
      <c r="I618" s="77"/>
      <c r="AS618" s="20"/>
      <c r="AT618" s="20"/>
      <c r="AU618" s="20"/>
      <c r="AV618" s="20"/>
      <c r="AW618" s="20"/>
      <c r="AX618" s="20"/>
      <c r="AY618" s="20"/>
      <c r="AZ618" s="20"/>
    </row>
    <row r="619" ht="15.75" customHeight="1">
      <c r="I619" s="77"/>
      <c r="AS619" s="20"/>
      <c r="AT619" s="20"/>
      <c r="AU619" s="20"/>
      <c r="AV619" s="20"/>
      <c r="AW619" s="20"/>
      <c r="AX619" s="20"/>
      <c r="AY619" s="20"/>
      <c r="AZ619" s="20"/>
    </row>
    <row r="620" ht="15.75" customHeight="1">
      <c r="I620" s="77"/>
      <c r="AS620" s="20"/>
      <c r="AT620" s="20"/>
      <c r="AU620" s="20"/>
      <c r="AV620" s="20"/>
      <c r="AW620" s="20"/>
      <c r="AX620" s="20"/>
      <c r="AY620" s="20"/>
      <c r="AZ620" s="20"/>
    </row>
    <row r="621" ht="15.75" customHeight="1">
      <c r="I621" s="77"/>
      <c r="AS621" s="20"/>
      <c r="AT621" s="20"/>
      <c r="AU621" s="20"/>
      <c r="AV621" s="20"/>
      <c r="AW621" s="20"/>
      <c r="AX621" s="20"/>
      <c r="AY621" s="20"/>
      <c r="AZ621" s="20"/>
    </row>
    <row r="622" ht="15.75" customHeight="1">
      <c r="I622" s="77"/>
      <c r="AS622" s="20"/>
      <c r="AT622" s="20"/>
      <c r="AU622" s="20"/>
      <c r="AV622" s="20"/>
      <c r="AW622" s="20"/>
      <c r="AX622" s="20"/>
      <c r="AY622" s="20"/>
      <c r="AZ622" s="20"/>
    </row>
    <row r="623" ht="15.75" customHeight="1">
      <c r="I623" s="77"/>
      <c r="AS623" s="20"/>
      <c r="AT623" s="20"/>
      <c r="AU623" s="20"/>
      <c r="AV623" s="20"/>
      <c r="AW623" s="20"/>
      <c r="AX623" s="20"/>
      <c r="AY623" s="20"/>
      <c r="AZ623" s="20"/>
    </row>
    <row r="624" ht="15.75" customHeight="1">
      <c r="I624" s="77"/>
      <c r="AS624" s="20"/>
      <c r="AT624" s="20"/>
      <c r="AU624" s="20"/>
      <c r="AV624" s="20"/>
      <c r="AW624" s="20"/>
      <c r="AX624" s="20"/>
      <c r="AY624" s="20"/>
      <c r="AZ624" s="20"/>
    </row>
    <row r="625" ht="15.75" customHeight="1">
      <c r="I625" s="77"/>
      <c r="AS625" s="20"/>
      <c r="AT625" s="20"/>
      <c r="AU625" s="20"/>
      <c r="AV625" s="20"/>
      <c r="AW625" s="20"/>
      <c r="AX625" s="20"/>
      <c r="AY625" s="20"/>
      <c r="AZ625" s="20"/>
    </row>
    <row r="626" ht="15.75" customHeight="1">
      <c r="I626" s="77"/>
      <c r="AS626" s="20"/>
      <c r="AT626" s="20"/>
      <c r="AU626" s="20"/>
      <c r="AV626" s="20"/>
      <c r="AW626" s="20"/>
      <c r="AX626" s="20"/>
      <c r="AY626" s="20"/>
      <c r="AZ626" s="20"/>
    </row>
    <row r="627" ht="15.75" customHeight="1">
      <c r="I627" s="77"/>
      <c r="AS627" s="20"/>
      <c r="AT627" s="20"/>
      <c r="AU627" s="20"/>
      <c r="AV627" s="20"/>
      <c r="AW627" s="20"/>
      <c r="AX627" s="20"/>
      <c r="AY627" s="20"/>
      <c r="AZ627" s="20"/>
    </row>
    <row r="628" ht="15.75" customHeight="1">
      <c r="I628" s="77"/>
      <c r="AS628" s="20"/>
      <c r="AT628" s="20"/>
      <c r="AU628" s="20"/>
      <c r="AV628" s="20"/>
      <c r="AW628" s="20"/>
      <c r="AX628" s="20"/>
      <c r="AY628" s="20"/>
      <c r="AZ628" s="20"/>
    </row>
    <row r="629" ht="15.75" customHeight="1">
      <c r="I629" s="77"/>
      <c r="AS629" s="20"/>
      <c r="AT629" s="20"/>
      <c r="AU629" s="20"/>
      <c r="AV629" s="20"/>
      <c r="AW629" s="20"/>
      <c r="AX629" s="20"/>
      <c r="AY629" s="20"/>
      <c r="AZ629" s="20"/>
    </row>
    <row r="630" ht="15.75" customHeight="1">
      <c r="I630" s="77"/>
      <c r="AS630" s="20"/>
      <c r="AT630" s="20"/>
      <c r="AU630" s="20"/>
      <c r="AV630" s="20"/>
      <c r="AW630" s="20"/>
      <c r="AX630" s="20"/>
      <c r="AY630" s="20"/>
      <c r="AZ630" s="20"/>
    </row>
    <row r="631" ht="15.75" customHeight="1">
      <c r="I631" s="77"/>
      <c r="AS631" s="20"/>
      <c r="AT631" s="20"/>
      <c r="AU631" s="20"/>
      <c r="AV631" s="20"/>
      <c r="AW631" s="20"/>
      <c r="AX631" s="20"/>
      <c r="AY631" s="20"/>
      <c r="AZ631" s="20"/>
    </row>
    <row r="632" ht="15.75" customHeight="1">
      <c r="I632" s="77"/>
      <c r="AS632" s="20"/>
      <c r="AT632" s="20"/>
      <c r="AU632" s="20"/>
      <c r="AV632" s="20"/>
      <c r="AW632" s="20"/>
      <c r="AX632" s="20"/>
      <c r="AY632" s="20"/>
      <c r="AZ632" s="20"/>
    </row>
    <row r="633" ht="15.75" customHeight="1">
      <c r="I633" s="77"/>
      <c r="AS633" s="20"/>
      <c r="AT633" s="20"/>
      <c r="AU633" s="20"/>
      <c r="AV633" s="20"/>
      <c r="AW633" s="20"/>
      <c r="AX633" s="20"/>
      <c r="AY633" s="20"/>
      <c r="AZ633" s="20"/>
    </row>
    <row r="634" ht="15.75" customHeight="1">
      <c r="I634" s="77"/>
      <c r="AS634" s="20"/>
      <c r="AT634" s="20"/>
      <c r="AU634" s="20"/>
      <c r="AV634" s="20"/>
      <c r="AW634" s="20"/>
      <c r="AX634" s="20"/>
      <c r="AY634" s="20"/>
      <c r="AZ634" s="20"/>
    </row>
    <row r="635" ht="15.75" customHeight="1">
      <c r="I635" s="77"/>
      <c r="AS635" s="20"/>
      <c r="AT635" s="20"/>
      <c r="AU635" s="20"/>
      <c r="AV635" s="20"/>
      <c r="AW635" s="20"/>
      <c r="AX635" s="20"/>
      <c r="AY635" s="20"/>
      <c r="AZ635" s="20"/>
    </row>
    <row r="636" ht="15.75" customHeight="1">
      <c r="I636" s="77"/>
      <c r="AS636" s="20"/>
      <c r="AT636" s="20"/>
      <c r="AU636" s="20"/>
      <c r="AV636" s="20"/>
      <c r="AW636" s="20"/>
      <c r="AX636" s="20"/>
      <c r="AY636" s="20"/>
      <c r="AZ636" s="20"/>
    </row>
    <row r="637" ht="15.75" customHeight="1">
      <c r="I637" s="77"/>
      <c r="AS637" s="20"/>
      <c r="AT637" s="20"/>
      <c r="AU637" s="20"/>
      <c r="AV637" s="20"/>
      <c r="AW637" s="20"/>
      <c r="AX637" s="20"/>
      <c r="AY637" s="20"/>
      <c r="AZ637" s="20"/>
    </row>
    <row r="638" ht="15.75" customHeight="1">
      <c r="I638" s="77"/>
      <c r="AS638" s="20"/>
      <c r="AT638" s="20"/>
      <c r="AU638" s="20"/>
      <c r="AV638" s="20"/>
      <c r="AW638" s="20"/>
      <c r="AX638" s="20"/>
      <c r="AY638" s="20"/>
      <c r="AZ638" s="20"/>
    </row>
    <row r="639" ht="15.75" customHeight="1">
      <c r="I639" s="77"/>
      <c r="AS639" s="20"/>
      <c r="AT639" s="20"/>
      <c r="AU639" s="20"/>
      <c r="AV639" s="20"/>
      <c r="AW639" s="20"/>
      <c r="AX639" s="20"/>
      <c r="AY639" s="20"/>
      <c r="AZ639" s="20"/>
    </row>
    <row r="640" ht="15.75" customHeight="1">
      <c r="I640" s="77"/>
      <c r="AS640" s="20"/>
      <c r="AT640" s="20"/>
      <c r="AU640" s="20"/>
      <c r="AV640" s="20"/>
      <c r="AW640" s="20"/>
      <c r="AX640" s="20"/>
      <c r="AY640" s="20"/>
      <c r="AZ640" s="20"/>
    </row>
    <row r="641" ht="15.75" customHeight="1">
      <c r="I641" s="77"/>
      <c r="AS641" s="20"/>
      <c r="AT641" s="20"/>
      <c r="AU641" s="20"/>
      <c r="AV641" s="20"/>
      <c r="AW641" s="20"/>
      <c r="AX641" s="20"/>
      <c r="AY641" s="20"/>
      <c r="AZ641" s="20"/>
    </row>
    <row r="642" ht="15.75" customHeight="1">
      <c r="I642" s="77"/>
      <c r="AS642" s="20"/>
      <c r="AT642" s="20"/>
      <c r="AU642" s="20"/>
      <c r="AV642" s="20"/>
      <c r="AW642" s="20"/>
      <c r="AX642" s="20"/>
      <c r="AY642" s="20"/>
      <c r="AZ642" s="20"/>
    </row>
    <row r="643" ht="15.75" customHeight="1">
      <c r="I643" s="77"/>
      <c r="AS643" s="20"/>
      <c r="AT643" s="20"/>
      <c r="AU643" s="20"/>
      <c r="AV643" s="20"/>
      <c r="AW643" s="20"/>
      <c r="AX643" s="20"/>
      <c r="AY643" s="20"/>
      <c r="AZ643" s="20"/>
    </row>
    <row r="644" ht="15.75" customHeight="1">
      <c r="I644" s="77"/>
      <c r="AS644" s="20"/>
      <c r="AT644" s="20"/>
      <c r="AU644" s="20"/>
      <c r="AV644" s="20"/>
      <c r="AW644" s="20"/>
      <c r="AX644" s="20"/>
      <c r="AY644" s="20"/>
      <c r="AZ644" s="20"/>
    </row>
    <row r="645" ht="15.75" customHeight="1">
      <c r="I645" s="77"/>
      <c r="AS645" s="20"/>
      <c r="AT645" s="20"/>
      <c r="AU645" s="20"/>
      <c r="AV645" s="20"/>
      <c r="AW645" s="20"/>
      <c r="AX645" s="20"/>
      <c r="AY645" s="20"/>
      <c r="AZ645" s="20"/>
    </row>
    <row r="646" ht="15.75" customHeight="1">
      <c r="I646" s="77"/>
      <c r="AS646" s="20"/>
      <c r="AT646" s="20"/>
      <c r="AU646" s="20"/>
      <c r="AV646" s="20"/>
      <c r="AW646" s="20"/>
      <c r="AX646" s="20"/>
      <c r="AY646" s="20"/>
      <c r="AZ646" s="20"/>
    </row>
    <row r="647" ht="15.75" customHeight="1">
      <c r="I647" s="77"/>
      <c r="AS647" s="20"/>
      <c r="AT647" s="20"/>
      <c r="AU647" s="20"/>
      <c r="AV647" s="20"/>
      <c r="AW647" s="20"/>
      <c r="AX647" s="20"/>
      <c r="AY647" s="20"/>
      <c r="AZ647" s="20"/>
    </row>
    <row r="648" ht="15.75" customHeight="1">
      <c r="I648" s="77"/>
      <c r="AS648" s="20"/>
      <c r="AT648" s="20"/>
      <c r="AU648" s="20"/>
      <c r="AV648" s="20"/>
      <c r="AW648" s="20"/>
      <c r="AX648" s="20"/>
      <c r="AY648" s="20"/>
      <c r="AZ648" s="20"/>
    </row>
    <row r="649" ht="15.75" customHeight="1">
      <c r="I649" s="77"/>
      <c r="AS649" s="20"/>
      <c r="AT649" s="20"/>
      <c r="AU649" s="20"/>
      <c r="AV649" s="20"/>
      <c r="AW649" s="20"/>
      <c r="AX649" s="20"/>
      <c r="AY649" s="20"/>
      <c r="AZ649" s="20"/>
    </row>
    <row r="650" ht="15.75" customHeight="1">
      <c r="I650" s="77"/>
      <c r="AS650" s="20"/>
      <c r="AT650" s="20"/>
      <c r="AU650" s="20"/>
      <c r="AV650" s="20"/>
      <c r="AW650" s="20"/>
      <c r="AX650" s="20"/>
      <c r="AY650" s="20"/>
      <c r="AZ650" s="20"/>
    </row>
    <row r="651" ht="15.75" customHeight="1">
      <c r="I651" s="77"/>
      <c r="AS651" s="20"/>
      <c r="AT651" s="20"/>
      <c r="AU651" s="20"/>
      <c r="AV651" s="20"/>
      <c r="AW651" s="20"/>
      <c r="AX651" s="20"/>
      <c r="AY651" s="20"/>
      <c r="AZ651" s="20"/>
    </row>
    <row r="652" ht="15.75" customHeight="1">
      <c r="I652" s="77"/>
      <c r="AS652" s="20"/>
      <c r="AT652" s="20"/>
      <c r="AU652" s="20"/>
      <c r="AV652" s="20"/>
      <c r="AW652" s="20"/>
      <c r="AX652" s="20"/>
      <c r="AY652" s="20"/>
      <c r="AZ652" s="20"/>
    </row>
    <row r="653" ht="15.75" customHeight="1">
      <c r="I653" s="77"/>
      <c r="AS653" s="20"/>
      <c r="AT653" s="20"/>
      <c r="AU653" s="20"/>
      <c r="AV653" s="20"/>
      <c r="AW653" s="20"/>
      <c r="AX653" s="20"/>
      <c r="AY653" s="20"/>
      <c r="AZ653" s="20"/>
    </row>
    <row r="654" ht="15.75" customHeight="1">
      <c r="I654" s="77"/>
      <c r="AS654" s="20"/>
      <c r="AT654" s="20"/>
      <c r="AU654" s="20"/>
      <c r="AV654" s="20"/>
      <c r="AW654" s="20"/>
      <c r="AX654" s="20"/>
      <c r="AY654" s="20"/>
      <c r="AZ654" s="20"/>
    </row>
    <row r="655" ht="15.75" customHeight="1">
      <c r="I655" s="77"/>
      <c r="AS655" s="20"/>
      <c r="AT655" s="20"/>
      <c r="AU655" s="20"/>
      <c r="AV655" s="20"/>
      <c r="AW655" s="20"/>
      <c r="AX655" s="20"/>
      <c r="AY655" s="20"/>
      <c r="AZ655" s="20"/>
    </row>
    <row r="656" ht="15.75" customHeight="1">
      <c r="I656" s="77"/>
      <c r="AS656" s="20"/>
      <c r="AT656" s="20"/>
      <c r="AU656" s="20"/>
      <c r="AV656" s="20"/>
      <c r="AW656" s="20"/>
      <c r="AX656" s="20"/>
      <c r="AY656" s="20"/>
      <c r="AZ656" s="20"/>
    </row>
    <row r="657" ht="15.75" customHeight="1">
      <c r="I657" s="77"/>
      <c r="AS657" s="20"/>
      <c r="AT657" s="20"/>
      <c r="AU657" s="20"/>
      <c r="AV657" s="20"/>
      <c r="AW657" s="20"/>
      <c r="AX657" s="20"/>
      <c r="AY657" s="20"/>
      <c r="AZ657" s="20"/>
    </row>
    <row r="658" ht="15.75" customHeight="1">
      <c r="I658" s="77"/>
      <c r="AS658" s="20"/>
      <c r="AT658" s="20"/>
      <c r="AU658" s="20"/>
      <c r="AV658" s="20"/>
      <c r="AW658" s="20"/>
      <c r="AX658" s="20"/>
      <c r="AY658" s="20"/>
      <c r="AZ658" s="20"/>
    </row>
    <row r="659" ht="15.75" customHeight="1">
      <c r="I659" s="77"/>
      <c r="AS659" s="20"/>
      <c r="AT659" s="20"/>
      <c r="AU659" s="20"/>
      <c r="AV659" s="20"/>
      <c r="AW659" s="20"/>
      <c r="AX659" s="20"/>
      <c r="AY659" s="20"/>
      <c r="AZ659" s="20"/>
    </row>
    <row r="660" ht="15.75" customHeight="1">
      <c r="I660" s="77"/>
      <c r="AS660" s="20"/>
      <c r="AT660" s="20"/>
      <c r="AU660" s="20"/>
      <c r="AV660" s="20"/>
      <c r="AW660" s="20"/>
      <c r="AX660" s="20"/>
      <c r="AY660" s="20"/>
      <c r="AZ660" s="20"/>
    </row>
    <row r="661" ht="15.75" customHeight="1">
      <c r="I661" s="77"/>
      <c r="AS661" s="20"/>
      <c r="AT661" s="20"/>
      <c r="AU661" s="20"/>
      <c r="AV661" s="20"/>
      <c r="AW661" s="20"/>
      <c r="AX661" s="20"/>
      <c r="AY661" s="20"/>
      <c r="AZ661" s="20"/>
    </row>
    <row r="662" ht="15.75" customHeight="1">
      <c r="I662" s="77"/>
      <c r="AS662" s="20"/>
      <c r="AT662" s="20"/>
      <c r="AU662" s="20"/>
      <c r="AV662" s="20"/>
      <c r="AW662" s="20"/>
      <c r="AX662" s="20"/>
      <c r="AY662" s="20"/>
      <c r="AZ662" s="20"/>
    </row>
    <row r="663" ht="15.75" customHeight="1">
      <c r="I663" s="77"/>
      <c r="AS663" s="20"/>
      <c r="AT663" s="20"/>
      <c r="AU663" s="20"/>
      <c r="AV663" s="20"/>
      <c r="AW663" s="20"/>
      <c r="AX663" s="20"/>
      <c r="AY663" s="20"/>
      <c r="AZ663" s="20"/>
    </row>
    <row r="664" ht="15.75" customHeight="1">
      <c r="I664" s="77"/>
      <c r="AS664" s="20"/>
      <c r="AT664" s="20"/>
      <c r="AU664" s="20"/>
      <c r="AV664" s="20"/>
      <c r="AW664" s="20"/>
      <c r="AX664" s="20"/>
      <c r="AY664" s="20"/>
      <c r="AZ664" s="20"/>
    </row>
    <row r="665" ht="15.75" customHeight="1">
      <c r="I665" s="77"/>
      <c r="AS665" s="20"/>
      <c r="AT665" s="20"/>
      <c r="AU665" s="20"/>
      <c r="AV665" s="20"/>
      <c r="AW665" s="20"/>
      <c r="AX665" s="20"/>
      <c r="AY665" s="20"/>
      <c r="AZ665" s="20"/>
    </row>
    <row r="666" ht="15.75" customHeight="1">
      <c r="I666" s="77"/>
      <c r="AS666" s="20"/>
      <c r="AT666" s="20"/>
      <c r="AU666" s="20"/>
      <c r="AV666" s="20"/>
      <c r="AW666" s="20"/>
      <c r="AX666" s="20"/>
      <c r="AY666" s="20"/>
      <c r="AZ666" s="20"/>
    </row>
    <row r="667" ht="15.75" customHeight="1">
      <c r="I667" s="77"/>
      <c r="AS667" s="20"/>
      <c r="AT667" s="20"/>
      <c r="AU667" s="20"/>
      <c r="AV667" s="20"/>
      <c r="AW667" s="20"/>
      <c r="AX667" s="20"/>
      <c r="AY667" s="20"/>
      <c r="AZ667" s="20"/>
    </row>
    <row r="668" ht="15.75" customHeight="1">
      <c r="I668" s="77"/>
      <c r="AS668" s="20"/>
      <c r="AT668" s="20"/>
      <c r="AU668" s="20"/>
      <c r="AV668" s="20"/>
      <c r="AW668" s="20"/>
      <c r="AX668" s="20"/>
      <c r="AY668" s="20"/>
      <c r="AZ668" s="20"/>
    </row>
    <row r="669" ht="15.75" customHeight="1">
      <c r="I669" s="77"/>
      <c r="AS669" s="20"/>
      <c r="AT669" s="20"/>
      <c r="AU669" s="20"/>
      <c r="AV669" s="20"/>
      <c r="AW669" s="20"/>
      <c r="AX669" s="20"/>
      <c r="AY669" s="20"/>
      <c r="AZ669" s="20"/>
    </row>
    <row r="670" ht="15.75" customHeight="1">
      <c r="I670" s="77"/>
      <c r="AS670" s="20"/>
      <c r="AT670" s="20"/>
      <c r="AU670" s="20"/>
      <c r="AV670" s="20"/>
      <c r="AW670" s="20"/>
      <c r="AX670" s="20"/>
      <c r="AY670" s="20"/>
      <c r="AZ670" s="20"/>
    </row>
    <row r="671" ht="15.75" customHeight="1">
      <c r="I671" s="77"/>
      <c r="AS671" s="20"/>
      <c r="AT671" s="20"/>
      <c r="AU671" s="20"/>
      <c r="AV671" s="20"/>
      <c r="AW671" s="20"/>
      <c r="AX671" s="20"/>
      <c r="AY671" s="20"/>
      <c r="AZ671" s="20"/>
    </row>
    <row r="672" ht="15.75" customHeight="1">
      <c r="I672" s="77"/>
      <c r="AS672" s="20"/>
      <c r="AT672" s="20"/>
      <c r="AU672" s="20"/>
      <c r="AV672" s="20"/>
      <c r="AW672" s="20"/>
      <c r="AX672" s="20"/>
      <c r="AY672" s="20"/>
      <c r="AZ672" s="20"/>
    </row>
    <row r="673" ht="15.75" customHeight="1">
      <c r="I673" s="77"/>
      <c r="AS673" s="20"/>
      <c r="AT673" s="20"/>
      <c r="AU673" s="20"/>
      <c r="AV673" s="20"/>
      <c r="AW673" s="20"/>
      <c r="AX673" s="20"/>
      <c r="AY673" s="20"/>
      <c r="AZ673" s="20"/>
    </row>
    <row r="674" ht="15.75" customHeight="1">
      <c r="I674" s="77"/>
      <c r="AS674" s="20"/>
      <c r="AT674" s="20"/>
      <c r="AU674" s="20"/>
      <c r="AV674" s="20"/>
      <c r="AW674" s="20"/>
      <c r="AX674" s="20"/>
      <c r="AY674" s="20"/>
      <c r="AZ674" s="20"/>
    </row>
    <row r="675" ht="15.75" customHeight="1">
      <c r="I675" s="77"/>
      <c r="AS675" s="20"/>
      <c r="AT675" s="20"/>
      <c r="AU675" s="20"/>
      <c r="AV675" s="20"/>
      <c r="AW675" s="20"/>
      <c r="AX675" s="20"/>
      <c r="AY675" s="20"/>
      <c r="AZ675" s="20"/>
    </row>
    <row r="676" ht="15.75" customHeight="1">
      <c r="I676" s="77"/>
      <c r="AS676" s="20"/>
      <c r="AT676" s="20"/>
      <c r="AU676" s="20"/>
      <c r="AV676" s="20"/>
      <c r="AW676" s="20"/>
      <c r="AX676" s="20"/>
      <c r="AY676" s="20"/>
      <c r="AZ676" s="20"/>
    </row>
    <row r="677" ht="15.75" customHeight="1">
      <c r="I677" s="77"/>
      <c r="AS677" s="20"/>
      <c r="AT677" s="20"/>
      <c r="AU677" s="20"/>
      <c r="AV677" s="20"/>
      <c r="AW677" s="20"/>
      <c r="AX677" s="20"/>
      <c r="AY677" s="20"/>
      <c r="AZ677" s="20"/>
    </row>
    <row r="678" ht="15.75" customHeight="1">
      <c r="I678" s="77"/>
      <c r="AS678" s="20"/>
      <c r="AT678" s="20"/>
      <c r="AU678" s="20"/>
      <c r="AV678" s="20"/>
      <c r="AW678" s="20"/>
      <c r="AX678" s="20"/>
      <c r="AY678" s="20"/>
      <c r="AZ678" s="20"/>
    </row>
    <row r="679" ht="15.75" customHeight="1">
      <c r="I679" s="77"/>
      <c r="AS679" s="20"/>
      <c r="AT679" s="20"/>
      <c r="AU679" s="20"/>
      <c r="AV679" s="20"/>
      <c r="AW679" s="20"/>
      <c r="AX679" s="20"/>
      <c r="AY679" s="20"/>
      <c r="AZ679" s="20"/>
    </row>
    <row r="680" ht="15.75" customHeight="1">
      <c r="I680" s="77"/>
      <c r="AS680" s="20"/>
      <c r="AT680" s="20"/>
      <c r="AU680" s="20"/>
      <c r="AV680" s="20"/>
      <c r="AW680" s="20"/>
      <c r="AX680" s="20"/>
      <c r="AY680" s="20"/>
      <c r="AZ680" s="20"/>
    </row>
    <row r="681" ht="15.75" customHeight="1">
      <c r="I681" s="77"/>
      <c r="AS681" s="20"/>
      <c r="AT681" s="20"/>
      <c r="AU681" s="20"/>
      <c r="AV681" s="20"/>
      <c r="AW681" s="20"/>
      <c r="AX681" s="20"/>
      <c r="AY681" s="20"/>
      <c r="AZ681" s="20"/>
    </row>
    <row r="682" ht="15.75" customHeight="1">
      <c r="I682" s="77"/>
      <c r="AS682" s="20"/>
      <c r="AT682" s="20"/>
      <c r="AU682" s="20"/>
      <c r="AV682" s="20"/>
      <c r="AW682" s="20"/>
      <c r="AX682" s="20"/>
      <c r="AY682" s="20"/>
      <c r="AZ682" s="20"/>
    </row>
    <row r="683" ht="15.75" customHeight="1">
      <c r="I683" s="77"/>
      <c r="AS683" s="20"/>
      <c r="AT683" s="20"/>
      <c r="AU683" s="20"/>
      <c r="AV683" s="20"/>
      <c r="AW683" s="20"/>
      <c r="AX683" s="20"/>
      <c r="AY683" s="20"/>
      <c r="AZ683" s="20"/>
    </row>
    <row r="684" ht="15.75" customHeight="1">
      <c r="I684" s="77"/>
      <c r="AS684" s="20"/>
      <c r="AT684" s="20"/>
      <c r="AU684" s="20"/>
      <c r="AV684" s="20"/>
      <c r="AW684" s="20"/>
      <c r="AX684" s="20"/>
      <c r="AY684" s="20"/>
      <c r="AZ684" s="20"/>
    </row>
    <row r="685" ht="15.75" customHeight="1">
      <c r="I685" s="77"/>
      <c r="AS685" s="20"/>
      <c r="AT685" s="20"/>
      <c r="AU685" s="20"/>
      <c r="AV685" s="20"/>
      <c r="AW685" s="20"/>
      <c r="AX685" s="20"/>
      <c r="AY685" s="20"/>
      <c r="AZ685" s="20"/>
    </row>
    <row r="686" ht="15.75" customHeight="1">
      <c r="I686" s="77"/>
      <c r="AS686" s="20"/>
      <c r="AT686" s="20"/>
      <c r="AU686" s="20"/>
      <c r="AV686" s="20"/>
      <c r="AW686" s="20"/>
      <c r="AX686" s="20"/>
      <c r="AY686" s="20"/>
      <c r="AZ686" s="20"/>
    </row>
    <row r="687" ht="15.75" customHeight="1">
      <c r="I687" s="77"/>
      <c r="AS687" s="20"/>
      <c r="AT687" s="20"/>
      <c r="AU687" s="20"/>
      <c r="AV687" s="20"/>
      <c r="AW687" s="20"/>
      <c r="AX687" s="20"/>
      <c r="AY687" s="20"/>
      <c r="AZ687" s="20"/>
    </row>
    <row r="688" ht="15.75" customHeight="1">
      <c r="I688" s="77"/>
      <c r="AS688" s="20"/>
      <c r="AT688" s="20"/>
      <c r="AU688" s="20"/>
      <c r="AV688" s="20"/>
      <c r="AW688" s="20"/>
      <c r="AX688" s="20"/>
      <c r="AY688" s="20"/>
      <c r="AZ688" s="20"/>
    </row>
    <row r="689" ht="15.75" customHeight="1">
      <c r="I689" s="77"/>
      <c r="AS689" s="20"/>
      <c r="AT689" s="20"/>
      <c r="AU689" s="20"/>
      <c r="AV689" s="20"/>
      <c r="AW689" s="20"/>
      <c r="AX689" s="20"/>
      <c r="AY689" s="20"/>
      <c r="AZ689" s="20"/>
    </row>
    <row r="690" ht="15.75" customHeight="1">
      <c r="I690" s="77"/>
      <c r="AS690" s="20"/>
      <c r="AT690" s="20"/>
      <c r="AU690" s="20"/>
      <c r="AV690" s="20"/>
      <c r="AW690" s="20"/>
      <c r="AX690" s="20"/>
      <c r="AY690" s="20"/>
      <c r="AZ690" s="20"/>
    </row>
    <row r="691" ht="15.75" customHeight="1">
      <c r="I691" s="77"/>
      <c r="AS691" s="20"/>
      <c r="AT691" s="20"/>
      <c r="AU691" s="20"/>
      <c r="AV691" s="20"/>
      <c r="AW691" s="20"/>
      <c r="AX691" s="20"/>
      <c r="AY691" s="20"/>
      <c r="AZ691" s="20"/>
    </row>
    <row r="692" ht="15.75" customHeight="1">
      <c r="I692" s="77"/>
      <c r="AS692" s="20"/>
      <c r="AT692" s="20"/>
      <c r="AU692" s="20"/>
      <c r="AV692" s="20"/>
      <c r="AW692" s="20"/>
      <c r="AX692" s="20"/>
      <c r="AY692" s="20"/>
      <c r="AZ692" s="20"/>
    </row>
    <row r="693" ht="15.75" customHeight="1">
      <c r="I693" s="77"/>
      <c r="AS693" s="20"/>
      <c r="AT693" s="20"/>
      <c r="AU693" s="20"/>
      <c r="AV693" s="20"/>
      <c r="AW693" s="20"/>
      <c r="AX693" s="20"/>
      <c r="AY693" s="20"/>
      <c r="AZ693" s="20"/>
    </row>
    <row r="694" ht="15.75" customHeight="1">
      <c r="I694" s="77"/>
      <c r="AS694" s="20"/>
      <c r="AT694" s="20"/>
      <c r="AU694" s="20"/>
      <c r="AV694" s="20"/>
      <c r="AW694" s="20"/>
      <c r="AX694" s="20"/>
      <c r="AY694" s="20"/>
      <c r="AZ694" s="20"/>
    </row>
    <row r="695" ht="15.75" customHeight="1">
      <c r="I695" s="77"/>
      <c r="AS695" s="20"/>
      <c r="AT695" s="20"/>
      <c r="AU695" s="20"/>
      <c r="AV695" s="20"/>
      <c r="AW695" s="20"/>
      <c r="AX695" s="20"/>
      <c r="AY695" s="20"/>
      <c r="AZ695" s="20"/>
    </row>
    <row r="696" ht="15.75" customHeight="1">
      <c r="I696" s="77"/>
      <c r="AS696" s="20"/>
      <c r="AT696" s="20"/>
      <c r="AU696" s="20"/>
      <c r="AV696" s="20"/>
      <c r="AW696" s="20"/>
      <c r="AX696" s="20"/>
      <c r="AY696" s="20"/>
      <c r="AZ696" s="20"/>
    </row>
    <row r="697" ht="15.75" customHeight="1">
      <c r="I697" s="77"/>
      <c r="AS697" s="20"/>
      <c r="AT697" s="20"/>
      <c r="AU697" s="20"/>
      <c r="AV697" s="20"/>
      <c r="AW697" s="20"/>
      <c r="AX697" s="20"/>
      <c r="AY697" s="20"/>
      <c r="AZ697" s="20"/>
    </row>
    <row r="698" ht="15.75" customHeight="1">
      <c r="I698" s="77"/>
      <c r="AS698" s="20"/>
      <c r="AT698" s="20"/>
      <c r="AU698" s="20"/>
      <c r="AV698" s="20"/>
      <c r="AW698" s="20"/>
      <c r="AX698" s="20"/>
      <c r="AY698" s="20"/>
      <c r="AZ698" s="20"/>
    </row>
    <row r="699" ht="15.75" customHeight="1">
      <c r="I699" s="77"/>
      <c r="AS699" s="20"/>
      <c r="AT699" s="20"/>
      <c r="AU699" s="20"/>
      <c r="AV699" s="20"/>
      <c r="AW699" s="20"/>
      <c r="AX699" s="20"/>
      <c r="AY699" s="20"/>
      <c r="AZ699" s="20"/>
    </row>
    <row r="700" ht="15.75" customHeight="1">
      <c r="I700" s="77"/>
      <c r="AS700" s="20"/>
      <c r="AT700" s="20"/>
      <c r="AU700" s="20"/>
      <c r="AV700" s="20"/>
      <c r="AW700" s="20"/>
      <c r="AX700" s="20"/>
      <c r="AY700" s="20"/>
      <c r="AZ700" s="20"/>
    </row>
    <row r="701" ht="15.75" customHeight="1">
      <c r="I701" s="77"/>
      <c r="AS701" s="20"/>
      <c r="AT701" s="20"/>
      <c r="AU701" s="20"/>
      <c r="AV701" s="20"/>
      <c r="AW701" s="20"/>
      <c r="AX701" s="20"/>
      <c r="AY701" s="20"/>
      <c r="AZ701" s="20"/>
    </row>
    <row r="702" ht="15.75" customHeight="1">
      <c r="I702" s="77"/>
      <c r="AS702" s="20"/>
      <c r="AT702" s="20"/>
      <c r="AU702" s="20"/>
      <c r="AV702" s="20"/>
      <c r="AW702" s="20"/>
      <c r="AX702" s="20"/>
      <c r="AY702" s="20"/>
      <c r="AZ702" s="20"/>
    </row>
    <row r="703" ht="15.75" customHeight="1">
      <c r="I703" s="77"/>
      <c r="AS703" s="20"/>
      <c r="AT703" s="20"/>
      <c r="AU703" s="20"/>
      <c r="AV703" s="20"/>
      <c r="AW703" s="20"/>
      <c r="AX703" s="20"/>
      <c r="AY703" s="20"/>
      <c r="AZ703" s="20"/>
    </row>
    <row r="704" ht="15.75" customHeight="1">
      <c r="I704" s="77"/>
      <c r="AS704" s="20"/>
      <c r="AT704" s="20"/>
      <c r="AU704" s="20"/>
      <c r="AV704" s="20"/>
      <c r="AW704" s="20"/>
      <c r="AX704" s="20"/>
      <c r="AY704" s="20"/>
      <c r="AZ704" s="20"/>
    </row>
    <row r="705" ht="15.75" customHeight="1">
      <c r="I705" s="77"/>
      <c r="AS705" s="20"/>
      <c r="AT705" s="20"/>
      <c r="AU705" s="20"/>
      <c r="AV705" s="20"/>
      <c r="AW705" s="20"/>
      <c r="AX705" s="20"/>
      <c r="AY705" s="20"/>
      <c r="AZ705" s="20"/>
    </row>
    <row r="706" ht="15.75" customHeight="1">
      <c r="I706" s="77"/>
      <c r="AS706" s="20"/>
      <c r="AT706" s="20"/>
      <c r="AU706" s="20"/>
      <c r="AV706" s="20"/>
      <c r="AW706" s="20"/>
      <c r="AX706" s="20"/>
      <c r="AY706" s="20"/>
      <c r="AZ706" s="20"/>
    </row>
    <row r="707" ht="15.75" customHeight="1">
      <c r="I707" s="77"/>
      <c r="AS707" s="20"/>
      <c r="AT707" s="20"/>
      <c r="AU707" s="20"/>
      <c r="AV707" s="20"/>
      <c r="AW707" s="20"/>
      <c r="AX707" s="20"/>
      <c r="AY707" s="20"/>
      <c r="AZ707" s="20"/>
    </row>
    <row r="708" ht="15.75" customHeight="1">
      <c r="I708" s="77"/>
      <c r="AS708" s="20"/>
      <c r="AT708" s="20"/>
      <c r="AU708" s="20"/>
      <c r="AV708" s="20"/>
      <c r="AW708" s="20"/>
      <c r="AX708" s="20"/>
      <c r="AY708" s="20"/>
      <c r="AZ708" s="20"/>
    </row>
    <row r="709" ht="15.75" customHeight="1">
      <c r="I709" s="77"/>
      <c r="AS709" s="20"/>
      <c r="AT709" s="20"/>
      <c r="AU709" s="20"/>
      <c r="AV709" s="20"/>
      <c r="AW709" s="20"/>
      <c r="AX709" s="20"/>
      <c r="AY709" s="20"/>
      <c r="AZ709" s="20"/>
    </row>
    <row r="710" ht="15.75" customHeight="1">
      <c r="I710" s="77"/>
      <c r="AS710" s="20"/>
      <c r="AT710" s="20"/>
      <c r="AU710" s="20"/>
      <c r="AV710" s="20"/>
      <c r="AW710" s="20"/>
      <c r="AX710" s="20"/>
      <c r="AY710" s="20"/>
      <c r="AZ710" s="20"/>
    </row>
    <row r="711" ht="15.75" customHeight="1">
      <c r="I711" s="77"/>
      <c r="AS711" s="20"/>
      <c r="AT711" s="20"/>
      <c r="AU711" s="20"/>
      <c r="AV711" s="20"/>
      <c r="AW711" s="20"/>
      <c r="AX711" s="20"/>
      <c r="AY711" s="20"/>
      <c r="AZ711" s="20"/>
    </row>
    <row r="712" ht="15.75" customHeight="1">
      <c r="I712" s="77"/>
      <c r="AS712" s="20"/>
      <c r="AT712" s="20"/>
      <c r="AU712" s="20"/>
      <c r="AV712" s="20"/>
      <c r="AW712" s="20"/>
      <c r="AX712" s="20"/>
      <c r="AY712" s="20"/>
      <c r="AZ712" s="20"/>
    </row>
    <row r="713" ht="15.75" customHeight="1">
      <c r="I713" s="77"/>
      <c r="AS713" s="20"/>
      <c r="AT713" s="20"/>
      <c r="AU713" s="20"/>
      <c r="AV713" s="20"/>
      <c r="AW713" s="20"/>
      <c r="AX713" s="20"/>
      <c r="AY713" s="20"/>
      <c r="AZ713" s="20"/>
    </row>
    <row r="714" ht="15.75" customHeight="1">
      <c r="I714" s="77"/>
      <c r="AS714" s="20"/>
      <c r="AT714" s="20"/>
      <c r="AU714" s="20"/>
      <c r="AV714" s="20"/>
      <c r="AW714" s="20"/>
      <c r="AX714" s="20"/>
      <c r="AY714" s="20"/>
      <c r="AZ714" s="20"/>
    </row>
    <row r="715" ht="15.75" customHeight="1">
      <c r="I715" s="77"/>
      <c r="AS715" s="20"/>
      <c r="AT715" s="20"/>
      <c r="AU715" s="20"/>
      <c r="AV715" s="20"/>
      <c r="AW715" s="20"/>
      <c r="AX715" s="20"/>
      <c r="AY715" s="20"/>
      <c r="AZ715" s="20"/>
    </row>
    <row r="716" ht="15.75" customHeight="1">
      <c r="I716" s="77"/>
      <c r="AS716" s="20"/>
      <c r="AT716" s="20"/>
      <c r="AU716" s="20"/>
      <c r="AV716" s="20"/>
      <c r="AW716" s="20"/>
      <c r="AX716" s="20"/>
      <c r="AY716" s="20"/>
      <c r="AZ716" s="20"/>
    </row>
    <row r="717" ht="15.75" customHeight="1">
      <c r="I717" s="77"/>
      <c r="AS717" s="20"/>
      <c r="AT717" s="20"/>
      <c r="AU717" s="20"/>
      <c r="AV717" s="20"/>
      <c r="AW717" s="20"/>
      <c r="AX717" s="20"/>
      <c r="AY717" s="20"/>
      <c r="AZ717" s="20"/>
    </row>
    <row r="718" ht="15.75" customHeight="1">
      <c r="I718" s="77"/>
      <c r="AS718" s="20"/>
      <c r="AT718" s="20"/>
      <c r="AU718" s="20"/>
      <c r="AV718" s="20"/>
      <c r="AW718" s="20"/>
      <c r="AX718" s="20"/>
      <c r="AY718" s="20"/>
      <c r="AZ718" s="20"/>
    </row>
    <row r="719" ht="15.75" customHeight="1">
      <c r="I719" s="77"/>
      <c r="AS719" s="20"/>
      <c r="AT719" s="20"/>
      <c r="AU719" s="20"/>
      <c r="AV719" s="20"/>
      <c r="AW719" s="20"/>
      <c r="AX719" s="20"/>
      <c r="AY719" s="20"/>
      <c r="AZ719" s="20"/>
    </row>
    <row r="720" ht="15.75" customHeight="1">
      <c r="I720" s="77"/>
      <c r="AS720" s="20"/>
      <c r="AT720" s="20"/>
      <c r="AU720" s="20"/>
      <c r="AV720" s="20"/>
      <c r="AW720" s="20"/>
      <c r="AX720" s="20"/>
      <c r="AY720" s="20"/>
      <c r="AZ720" s="20"/>
    </row>
    <row r="721" ht="15.75" customHeight="1">
      <c r="I721" s="77"/>
      <c r="AS721" s="20"/>
      <c r="AT721" s="20"/>
      <c r="AU721" s="20"/>
      <c r="AV721" s="20"/>
      <c r="AW721" s="20"/>
      <c r="AX721" s="20"/>
      <c r="AY721" s="20"/>
      <c r="AZ721" s="20"/>
    </row>
    <row r="722" ht="15.75" customHeight="1">
      <c r="I722" s="77"/>
      <c r="AS722" s="20"/>
      <c r="AT722" s="20"/>
      <c r="AU722" s="20"/>
      <c r="AV722" s="20"/>
      <c r="AW722" s="20"/>
      <c r="AX722" s="20"/>
      <c r="AY722" s="20"/>
      <c r="AZ722" s="20"/>
    </row>
    <row r="723" ht="15.75" customHeight="1">
      <c r="I723" s="77"/>
      <c r="AS723" s="20"/>
      <c r="AT723" s="20"/>
      <c r="AU723" s="20"/>
      <c r="AV723" s="20"/>
      <c r="AW723" s="20"/>
      <c r="AX723" s="20"/>
      <c r="AY723" s="20"/>
      <c r="AZ723" s="20"/>
    </row>
    <row r="724" ht="15.75" customHeight="1">
      <c r="I724" s="77"/>
      <c r="AS724" s="20"/>
      <c r="AT724" s="20"/>
      <c r="AU724" s="20"/>
      <c r="AV724" s="20"/>
      <c r="AW724" s="20"/>
      <c r="AX724" s="20"/>
      <c r="AY724" s="20"/>
      <c r="AZ724" s="20"/>
    </row>
    <row r="725" ht="15.75" customHeight="1">
      <c r="I725" s="77"/>
      <c r="AS725" s="20"/>
      <c r="AT725" s="20"/>
      <c r="AU725" s="20"/>
      <c r="AV725" s="20"/>
      <c r="AW725" s="20"/>
      <c r="AX725" s="20"/>
      <c r="AY725" s="20"/>
      <c r="AZ725" s="20"/>
    </row>
    <row r="726" ht="15.75" customHeight="1">
      <c r="I726" s="77"/>
      <c r="AS726" s="20"/>
      <c r="AT726" s="20"/>
      <c r="AU726" s="20"/>
      <c r="AV726" s="20"/>
      <c r="AW726" s="20"/>
      <c r="AX726" s="20"/>
      <c r="AY726" s="20"/>
      <c r="AZ726" s="20"/>
    </row>
    <row r="727" ht="15.75" customHeight="1">
      <c r="I727" s="77"/>
      <c r="AS727" s="20"/>
      <c r="AT727" s="20"/>
      <c r="AU727" s="20"/>
      <c r="AV727" s="20"/>
      <c r="AW727" s="20"/>
      <c r="AX727" s="20"/>
      <c r="AY727" s="20"/>
      <c r="AZ727" s="20"/>
    </row>
    <row r="728" ht="15.75" customHeight="1">
      <c r="I728" s="77"/>
      <c r="AS728" s="20"/>
      <c r="AT728" s="20"/>
      <c r="AU728" s="20"/>
      <c r="AV728" s="20"/>
      <c r="AW728" s="20"/>
      <c r="AX728" s="20"/>
      <c r="AY728" s="20"/>
      <c r="AZ728" s="20"/>
    </row>
    <row r="729" ht="15.75" customHeight="1">
      <c r="I729" s="77"/>
      <c r="AS729" s="20"/>
      <c r="AT729" s="20"/>
      <c r="AU729" s="20"/>
      <c r="AV729" s="20"/>
      <c r="AW729" s="20"/>
      <c r="AX729" s="20"/>
      <c r="AY729" s="20"/>
      <c r="AZ729" s="20"/>
    </row>
    <row r="730" ht="15.75" customHeight="1">
      <c r="I730" s="77"/>
      <c r="AS730" s="20"/>
      <c r="AT730" s="20"/>
      <c r="AU730" s="20"/>
      <c r="AV730" s="20"/>
      <c r="AW730" s="20"/>
      <c r="AX730" s="20"/>
      <c r="AY730" s="20"/>
      <c r="AZ730" s="20"/>
    </row>
    <row r="731" ht="15.75" customHeight="1">
      <c r="I731" s="77"/>
      <c r="AS731" s="20"/>
      <c r="AT731" s="20"/>
      <c r="AU731" s="20"/>
      <c r="AV731" s="20"/>
      <c r="AW731" s="20"/>
      <c r="AX731" s="20"/>
      <c r="AY731" s="20"/>
      <c r="AZ731" s="20"/>
    </row>
    <row r="732" ht="15.75" customHeight="1">
      <c r="I732" s="77"/>
      <c r="AS732" s="20"/>
      <c r="AT732" s="20"/>
      <c r="AU732" s="20"/>
      <c r="AV732" s="20"/>
      <c r="AW732" s="20"/>
      <c r="AX732" s="20"/>
      <c r="AY732" s="20"/>
      <c r="AZ732" s="20"/>
    </row>
    <row r="733" ht="15.75" customHeight="1">
      <c r="I733" s="77"/>
      <c r="AS733" s="20"/>
      <c r="AT733" s="20"/>
      <c r="AU733" s="20"/>
      <c r="AV733" s="20"/>
      <c r="AW733" s="20"/>
      <c r="AX733" s="20"/>
      <c r="AY733" s="20"/>
      <c r="AZ733" s="20"/>
    </row>
    <row r="734" ht="15.75" customHeight="1">
      <c r="I734" s="77"/>
      <c r="AS734" s="20"/>
      <c r="AT734" s="20"/>
      <c r="AU734" s="20"/>
      <c r="AV734" s="20"/>
      <c r="AW734" s="20"/>
      <c r="AX734" s="20"/>
      <c r="AY734" s="20"/>
      <c r="AZ734" s="20"/>
    </row>
    <row r="735" ht="15.75" customHeight="1">
      <c r="I735" s="77"/>
      <c r="AS735" s="20"/>
      <c r="AT735" s="20"/>
      <c r="AU735" s="20"/>
      <c r="AV735" s="20"/>
      <c r="AW735" s="20"/>
      <c r="AX735" s="20"/>
      <c r="AY735" s="20"/>
      <c r="AZ735" s="20"/>
    </row>
    <row r="736" ht="15.75" customHeight="1">
      <c r="I736" s="77"/>
      <c r="AS736" s="20"/>
      <c r="AT736" s="20"/>
      <c r="AU736" s="20"/>
      <c r="AV736" s="20"/>
      <c r="AW736" s="20"/>
      <c r="AX736" s="20"/>
      <c r="AY736" s="20"/>
      <c r="AZ736" s="20"/>
    </row>
    <row r="737" ht="15.75" customHeight="1">
      <c r="I737" s="77"/>
      <c r="AS737" s="20"/>
      <c r="AT737" s="20"/>
      <c r="AU737" s="20"/>
      <c r="AV737" s="20"/>
      <c r="AW737" s="20"/>
      <c r="AX737" s="20"/>
      <c r="AY737" s="20"/>
      <c r="AZ737" s="20"/>
    </row>
    <row r="738" ht="15.75" customHeight="1">
      <c r="I738" s="77"/>
      <c r="AS738" s="20"/>
      <c r="AT738" s="20"/>
      <c r="AU738" s="20"/>
      <c r="AV738" s="20"/>
      <c r="AW738" s="20"/>
      <c r="AX738" s="20"/>
      <c r="AY738" s="20"/>
      <c r="AZ738" s="20"/>
    </row>
    <row r="739" ht="15.75" customHeight="1">
      <c r="I739" s="77"/>
      <c r="AS739" s="20"/>
      <c r="AT739" s="20"/>
      <c r="AU739" s="20"/>
      <c r="AV739" s="20"/>
      <c r="AW739" s="20"/>
      <c r="AX739" s="20"/>
      <c r="AY739" s="20"/>
      <c r="AZ739" s="20"/>
    </row>
    <row r="740" ht="15.75" customHeight="1">
      <c r="I740" s="77"/>
      <c r="AS740" s="20"/>
      <c r="AT740" s="20"/>
      <c r="AU740" s="20"/>
      <c r="AV740" s="20"/>
      <c r="AW740" s="20"/>
      <c r="AX740" s="20"/>
      <c r="AY740" s="20"/>
      <c r="AZ740" s="20"/>
    </row>
    <row r="741" ht="15.75" customHeight="1">
      <c r="I741" s="77"/>
      <c r="AS741" s="20"/>
      <c r="AT741" s="20"/>
      <c r="AU741" s="20"/>
      <c r="AV741" s="20"/>
      <c r="AW741" s="20"/>
      <c r="AX741" s="20"/>
      <c r="AY741" s="20"/>
      <c r="AZ741" s="20"/>
    </row>
    <row r="742" ht="15.75" customHeight="1">
      <c r="I742" s="77"/>
      <c r="AS742" s="20"/>
      <c r="AT742" s="20"/>
      <c r="AU742" s="20"/>
      <c r="AV742" s="20"/>
      <c r="AW742" s="20"/>
      <c r="AX742" s="20"/>
      <c r="AY742" s="20"/>
      <c r="AZ742" s="20"/>
    </row>
    <row r="743" ht="15.75" customHeight="1">
      <c r="I743" s="77"/>
      <c r="AS743" s="20"/>
      <c r="AT743" s="20"/>
      <c r="AU743" s="20"/>
      <c r="AV743" s="20"/>
      <c r="AW743" s="20"/>
      <c r="AX743" s="20"/>
      <c r="AY743" s="20"/>
      <c r="AZ743" s="20"/>
    </row>
    <row r="744" ht="15.75" customHeight="1">
      <c r="I744" s="77"/>
      <c r="AS744" s="20"/>
      <c r="AT744" s="20"/>
      <c r="AU744" s="20"/>
      <c r="AV744" s="20"/>
      <c r="AW744" s="20"/>
      <c r="AX744" s="20"/>
      <c r="AY744" s="20"/>
      <c r="AZ744" s="20"/>
    </row>
    <row r="745" ht="15.75" customHeight="1">
      <c r="I745" s="77"/>
      <c r="AS745" s="20"/>
      <c r="AT745" s="20"/>
      <c r="AU745" s="20"/>
      <c r="AV745" s="20"/>
      <c r="AW745" s="20"/>
      <c r="AX745" s="20"/>
      <c r="AY745" s="20"/>
      <c r="AZ745" s="20"/>
    </row>
    <row r="746" ht="15.75" customHeight="1">
      <c r="I746" s="77"/>
      <c r="AS746" s="20"/>
      <c r="AT746" s="20"/>
      <c r="AU746" s="20"/>
      <c r="AV746" s="20"/>
      <c r="AW746" s="20"/>
      <c r="AX746" s="20"/>
      <c r="AY746" s="20"/>
      <c r="AZ746" s="20"/>
    </row>
    <row r="747" ht="15.75" customHeight="1">
      <c r="I747" s="77"/>
      <c r="AS747" s="20"/>
      <c r="AT747" s="20"/>
      <c r="AU747" s="20"/>
      <c r="AV747" s="20"/>
      <c r="AW747" s="20"/>
      <c r="AX747" s="20"/>
      <c r="AY747" s="20"/>
      <c r="AZ747" s="20"/>
    </row>
    <row r="748" ht="15.75" customHeight="1">
      <c r="I748" s="77"/>
      <c r="AS748" s="20"/>
      <c r="AT748" s="20"/>
      <c r="AU748" s="20"/>
      <c r="AV748" s="20"/>
      <c r="AW748" s="20"/>
      <c r="AX748" s="20"/>
      <c r="AY748" s="20"/>
      <c r="AZ748" s="20"/>
    </row>
    <row r="749" ht="15.75" customHeight="1">
      <c r="I749" s="77"/>
      <c r="AS749" s="20"/>
      <c r="AT749" s="20"/>
      <c r="AU749" s="20"/>
      <c r="AV749" s="20"/>
      <c r="AW749" s="20"/>
      <c r="AX749" s="20"/>
      <c r="AY749" s="20"/>
      <c r="AZ749" s="20"/>
    </row>
    <row r="750" ht="15.75" customHeight="1">
      <c r="I750" s="77"/>
      <c r="AS750" s="20"/>
      <c r="AT750" s="20"/>
      <c r="AU750" s="20"/>
      <c r="AV750" s="20"/>
      <c r="AW750" s="20"/>
      <c r="AX750" s="20"/>
      <c r="AY750" s="20"/>
      <c r="AZ750" s="20"/>
    </row>
    <row r="751" ht="15.75" customHeight="1">
      <c r="I751" s="77"/>
      <c r="AS751" s="20"/>
      <c r="AT751" s="20"/>
      <c r="AU751" s="20"/>
      <c r="AV751" s="20"/>
      <c r="AW751" s="20"/>
      <c r="AX751" s="20"/>
      <c r="AY751" s="20"/>
      <c r="AZ751" s="20"/>
    </row>
    <row r="752" ht="15.75" customHeight="1">
      <c r="I752" s="77"/>
      <c r="AS752" s="20"/>
      <c r="AT752" s="20"/>
      <c r="AU752" s="20"/>
      <c r="AV752" s="20"/>
      <c r="AW752" s="20"/>
      <c r="AX752" s="20"/>
      <c r="AY752" s="20"/>
      <c r="AZ752" s="20"/>
    </row>
    <row r="753" ht="15.75" customHeight="1">
      <c r="I753" s="77"/>
      <c r="AS753" s="20"/>
      <c r="AT753" s="20"/>
      <c r="AU753" s="20"/>
      <c r="AV753" s="20"/>
      <c r="AW753" s="20"/>
      <c r="AX753" s="20"/>
      <c r="AY753" s="20"/>
      <c r="AZ753" s="20"/>
    </row>
    <row r="754" ht="15.75" customHeight="1">
      <c r="I754" s="77"/>
      <c r="AS754" s="20"/>
      <c r="AT754" s="20"/>
      <c r="AU754" s="20"/>
      <c r="AV754" s="20"/>
      <c r="AW754" s="20"/>
      <c r="AX754" s="20"/>
      <c r="AY754" s="20"/>
      <c r="AZ754" s="20"/>
    </row>
    <row r="755" ht="15.75" customHeight="1">
      <c r="I755" s="77"/>
      <c r="AS755" s="20"/>
      <c r="AT755" s="20"/>
      <c r="AU755" s="20"/>
      <c r="AV755" s="20"/>
      <c r="AW755" s="20"/>
      <c r="AX755" s="20"/>
      <c r="AY755" s="20"/>
      <c r="AZ755" s="20"/>
    </row>
    <row r="756" ht="15.75" customHeight="1">
      <c r="I756" s="77"/>
      <c r="AS756" s="20"/>
      <c r="AT756" s="20"/>
      <c r="AU756" s="20"/>
      <c r="AV756" s="20"/>
      <c r="AW756" s="20"/>
      <c r="AX756" s="20"/>
      <c r="AY756" s="20"/>
      <c r="AZ756" s="20"/>
    </row>
    <row r="757" ht="15.75" customHeight="1">
      <c r="I757" s="77"/>
      <c r="AS757" s="20"/>
      <c r="AT757" s="20"/>
      <c r="AU757" s="20"/>
      <c r="AV757" s="20"/>
      <c r="AW757" s="20"/>
      <c r="AX757" s="20"/>
      <c r="AY757" s="20"/>
      <c r="AZ757" s="20"/>
    </row>
    <row r="758" ht="15.75" customHeight="1">
      <c r="I758" s="77"/>
      <c r="AS758" s="20"/>
      <c r="AT758" s="20"/>
      <c r="AU758" s="20"/>
      <c r="AV758" s="20"/>
      <c r="AW758" s="20"/>
      <c r="AX758" s="20"/>
      <c r="AY758" s="20"/>
      <c r="AZ758" s="20"/>
    </row>
    <row r="759" ht="15.75" customHeight="1">
      <c r="I759" s="77"/>
      <c r="AS759" s="20"/>
      <c r="AT759" s="20"/>
      <c r="AU759" s="20"/>
      <c r="AV759" s="20"/>
      <c r="AW759" s="20"/>
      <c r="AX759" s="20"/>
      <c r="AY759" s="20"/>
      <c r="AZ759" s="20"/>
    </row>
    <row r="760" ht="15.75" customHeight="1">
      <c r="I760" s="77"/>
      <c r="AS760" s="20"/>
      <c r="AT760" s="20"/>
      <c r="AU760" s="20"/>
      <c r="AV760" s="20"/>
      <c r="AW760" s="20"/>
      <c r="AX760" s="20"/>
      <c r="AY760" s="20"/>
      <c r="AZ760" s="20"/>
    </row>
    <row r="761" ht="15.75" customHeight="1">
      <c r="I761" s="77"/>
      <c r="AS761" s="20"/>
      <c r="AT761" s="20"/>
      <c r="AU761" s="20"/>
      <c r="AV761" s="20"/>
      <c r="AW761" s="20"/>
      <c r="AX761" s="20"/>
      <c r="AY761" s="20"/>
      <c r="AZ761" s="20"/>
    </row>
    <row r="762" ht="15.75" customHeight="1">
      <c r="I762" s="77"/>
      <c r="AS762" s="20"/>
      <c r="AT762" s="20"/>
      <c r="AU762" s="20"/>
      <c r="AV762" s="20"/>
      <c r="AW762" s="20"/>
      <c r="AX762" s="20"/>
      <c r="AY762" s="20"/>
      <c r="AZ762" s="20"/>
    </row>
    <row r="763" ht="15.75" customHeight="1">
      <c r="I763" s="77"/>
      <c r="AS763" s="20"/>
      <c r="AT763" s="20"/>
      <c r="AU763" s="20"/>
      <c r="AV763" s="20"/>
      <c r="AW763" s="20"/>
      <c r="AX763" s="20"/>
      <c r="AY763" s="20"/>
      <c r="AZ763" s="20"/>
    </row>
    <row r="764" ht="15.75" customHeight="1">
      <c r="I764" s="77"/>
      <c r="AS764" s="20"/>
      <c r="AT764" s="20"/>
      <c r="AU764" s="20"/>
      <c r="AV764" s="20"/>
      <c r="AW764" s="20"/>
      <c r="AX764" s="20"/>
      <c r="AY764" s="20"/>
      <c r="AZ764" s="20"/>
    </row>
    <row r="765" ht="15.75" customHeight="1">
      <c r="I765" s="77"/>
      <c r="AS765" s="20"/>
      <c r="AT765" s="20"/>
      <c r="AU765" s="20"/>
      <c r="AV765" s="20"/>
      <c r="AW765" s="20"/>
      <c r="AX765" s="20"/>
      <c r="AY765" s="20"/>
      <c r="AZ765" s="20"/>
    </row>
    <row r="766" ht="15.75" customHeight="1">
      <c r="I766" s="77"/>
      <c r="AS766" s="20"/>
      <c r="AT766" s="20"/>
      <c r="AU766" s="20"/>
      <c r="AV766" s="20"/>
      <c r="AW766" s="20"/>
      <c r="AX766" s="20"/>
      <c r="AY766" s="20"/>
      <c r="AZ766" s="20"/>
    </row>
    <row r="767" ht="15.75" customHeight="1">
      <c r="I767" s="77"/>
      <c r="AS767" s="20"/>
      <c r="AT767" s="20"/>
      <c r="AU767" s="20"/>
      <c r="AV767" s="20"/>
      <c r="AW767" s="20"/>
      <c r="AX767" s="20"/>
      <c r="AY767" s="20"/>
      <c r="AZ767" s="20"/>
    </row>
    <row r="768" ht="15.75" customHeight="1">
      <c r="I768" s="77"/>
      <c r="AS768" s="20"/>
      <c r="AT768" s="20"/>
      <c r="AU768" s="20"/>
      <c r="AV768" s="20"/>
      <c r="AW768" s="20"/>
      <c r="AX768" s="20"/>
      <c r="AY768" s="20"/>
      <c r="AZ768" s="20"/>
    </row>
    <row r="769" ht="15.75" customHeight="1">
      <c r="I769" s="77"/>
      <c r="AS769" s="20"/>
      <c r="AT769" s="20"/>
      <c r="AU769" s="20"/>
      <c r="AV769" s="20"/>
      <c r="AW769" s="20"/>
      <c r="AX769" s="20"/>
      <c r="AY769" s="20"/>
      <c r="AZ769" s="20"/>
    </row>
    <row r="770" ht="15.75" customHeight="1">
      <c r="I770" s="77"/>
      <c r="AS770" s="20"/>
      <c r="AT770" s="20"/>
      <c r="AU770" s="20"/>
      <c r="AV770" s="20"/>
      <c r="AW770" s="20"/>
      <c r="AX770" s="20"/>
      <c r="AY770" s="20"/>
      <c r="AZ770" s="20"/>
    </row>
    <row r="771" ht="15.75" customHeight="1">
      <c r="I771" s="77"/>
      <c r="AS771" s="20"/>
      <c r="AT771" s="20"/>
      <c r="AU771" s="20"/>
      <c r="AV771" s="20"/>
      <c r="AW771" s="20"/>
      <c r="AX771" s="20"/>
      <c r="AY771" s="20"/>
      <c r="AZ771" s="20"/>
    </row>
    <row r="772" ht="15.75" customHeight="1">
      <c r="I772" s="77"/>
      <c r="AS772" s="20"/>
      <c r="AT772" s="20"/>
      <c r="AU772" s="20"/>
      <c r="AV772" s="20"/>
      <c r="AW772" s="20"/>
      <c r="AX772" s="20"/>
      <c r="AY772" s="20"/>
      <c r="AZ772" s="20"/>
    </row>
    <row r="773" ht="15.75" customHeight="1">
      <c r="I773" s="77"/>
      <c r="AS773" s="20"/>
      <c r="AT773" s="20"/>
      <c r="AU773" s="20"/>
      <c r="AV773" s="20"/>
      <c r="AW773" s="20"/>
      <c r="AX773" s="20"/>
      <c r="AY773" s="20"/>
      <c r="AZ773" s="20"/>
    </row>
    <row r="774" ht="15.75" customHeight="1">
      <c r="I774" s="77"/>
      <c r="AS774" s="20"/>
      <c r="AT774" s="20"/>
      <c r="AU774" s="20"/>
      <c r="AV774" s="20"/>
      <c r="AW774" s="20"/>
      <c r="AX774" s="20"/>
      <c r="AY774" s="20"/>
      <c r="AZ774" s="20"/>
    </row>
    <row r="775" ht="15.75" customHeight="1">
      <c r="I775" s="77"/>
      <c r="AS775" s="20"/>
      <c r="AT775" s="20"/>
      <c r="AU775" s="20"/>
      <c r="AV775" s="20"/>
      <c r="AW775" s="20"/>
      <c r="AX775" s="20"/>
      <c r="AY775" s="20"/>
      <c r="AZ775" s="20"/>
    </row>
    <row r="776" ht="15.75" customHeight="1">
      <c r="I776" s="77"/>
      <c r="AS776" s="20"/>
      <c r="AT776" s="20"/>
      <c r="AU776" s="20"/>
      <c r="AV776" s="20"/>
      <c r="AW776" s="20"/>
      <c r="AX776" s="20"/>
      <c r="AY776" s="20"/>
      <c r="AZ776" s="20"/>
    </row>
    <row r="777" ht="15.75" customHeight="1">
      <c r="I777" s="77"/>
      <c r="AS777" s="20"/>
      <c r="AT777" s="20"/>
      <c r="AU777" s="20"/>
      <c r="AV777" s="20"/>
      <c r="AW777" s="20"/>
      <c r="AX777" s="20"/>
      <c r="AY777" s="20"/>
      <c r="AZ777" s="20"/>
    </row>
    <row r="778" ht="15.75" customHeight="1">
      <c r="I778" s="77"/>
      <c r="AS778" s="20"/>
      <c r="AT778" s="20"/>
      <c r="AU778" s="20"/>
      <c r="AV778" s="20"/>
      <c r="AW778" s="20"/>
      <c r="AX778" s="20"/>
      <c r="AY778" s="20"/>
      <c r="AZ778" s="20"/>
    </row>
    <row r="779" ht="15.75" customHeight="1">
      <c r="I779" s="77"/>
      <c r="AS779" s="20"/>
      <c r="AT779" s="20"/>
      <c r="AU779" s="20"/>
      <c r="AV779" s="20"/>
      <c r="AW779" s="20"/>
      <c r="AX779" s="20"/>
      <c r="AY779" s="20"/>
      <c r="AZ779" s="20"/>
    </row>
    <row r="780" ht="15.75" customHeight="1">
      <c r="I780" s="77"/>
      <c r="AS780" s="20"/>
      <c r="AT780" s="20"/>
      <c r="AU780" s="20"/>
      <c r="AV780" s="20"/>
      <c r="AW780" s="20"/>
      <c r="AX780" s="20"/>
      <c r="AY780" s="20"/>
      <c r="AZ780" s="20"/>
    </row>
    <row r="781" ht="15.75" customHeight="1">
      <c r="I781" s="77"/>
      <c r="AS781" s="20"/>
      <c r="AT781" s="20"/>
      <c r="AU781" s="20"/>
      <c r="AV781" s="20"/>
      <c r="AW781" s="20"/>
      <c r="AX781" s="20"/>
      <c r="AY781" s="20"/>
      <c r="AZ781" s="20"/>
    </row>
    <row r="782" ht="15.75" customHeight="1">
      <c r="I782" s="77"/>
      <c r="AS782" s="20"/>
      <c r="AT782" s="20"/>
      <c r="AU782" s="20"/>
      <c r="AV782" s="20"/>
      <c r="AW782" s="20"/>
      <c r="AX782" s="20"/>
      <c r="AY782" s="20"/>
      <c r="AZ782" s="20"/>
    </row>
    <row r="783" ht="15.75" customHeight="1">
      <c r="I783" s="77"/>
      <c r="AS783" s="20"/>
      <c r="AT783" s="20"/>
      <c r="AU783" s="20"/>
      <c r="AV783" s="20"/>
      <c r="AW783" s="20"/>
      <c r="AX783" s="20"/>
      <c r="AY783" s="20"/>
      <c r="AZ783" s="20"/>
    </row>
    <row r="784" ht="15.75" customHeight="1">
      <c r="I784" s="77"/>
      <c r="AS784" s="20"/>
      <c r="AT784" s="20"/>
      <c r="AU784" s="20"/>
      <c r="AV784" s="20"/>
      <c r="AW784" s="20"/>
      <c r="AX784" s="20"/>
      <c r="AY784" s="20"/>
      <c r="AZ784" s="20"/>
    </row>
    <row r="785" ht="15.75" customHeight="1">
      <c r="I785" s="77"/>
      <c r="AS785" s="20"/>
      <c r="AT785" s="20"/>
      <c r="AU785" s="20"/>
      <c r="AV785" s="20"/>
      <c r="AW785" s="20"/>
      <c r="AX785" s="20"/>
      <c r="AY785" s="20"/>
      <c r="AZ785" s="20"/>
    </row>
    <row r="786" ht="15.75" customHeight="1">
      <c r="I786" s="77"/>
      <c r="AS786" s="20"/>
      <c r="AT786" s="20"/>
      <c r="AU786" s="20"/>
      <c r="AV786" s="20"/>
      <c r="AW786" s="20"/>
      <c r="AX786" s="20"/>
      <c r="AY786" s="20"/>
      <c r="AZ786" s="20"/>
    </row>
    <row r="787" ht="15.75" customHeight="1">
      <c r="I787" s="77"/>
      <c r="AS787" s="20"/>
      <c r="AT787" s="20"/>
      <c r="AU787" s="20"/>
      <c r="AV787" s="20"/>
      <c r="AW787" s="20"/>
      <c r="AX787" s="20"/>
      <c r="AY787" s="20"/>
      <c r="AZ787" s="20"/>
    </row>
    <row r="788" ht="15.75" customHeight="1">
      <c r="I788" s="77"/>
      <c r="AS788" s="20"/>
      <c r="AT788" s="20"/>
      <c r="AU788" s="20"/>
      <c r="AV788" s="20"/>
      <c r="AW788" s="20"/>
      <c r="AX788" s="20"/>
      <c r="AY788" s="20"/>
      <c r="AZ788" s="20"/>
    </row>
    <row r="789" ht="15.75" customHeight="1">
      <c r="I789" s="77"/>
      <c r="AS789" s="20"/>
      <c r="AT789" s="20"/>
      <c r="AU789" s="20"/>
      <c r="AV789" s="20"/>
      <c r="AW789" s="20"/>
      <c r="AX789" s="20"/>
      <c r="AY789" s="20"/>
      <c r="AZ789" s="20"/>
    </row>
    <row r="790" ht="15.75" customHeight="1">
      <c r="I790" s="77"/>
      <c r="AS790" s="20"/>
      <c r="AT790" s="20"/>
      <c r="AU790" s="20"/>
      <c r="AV790" s="20"/>
      <c r="AW790" s="20"/>
      <c r="AX790" s="20"/>
      <c r="AY790" s="20"/>
      <c r="AZ790" s="20"/>
    </row>
    <row r="791" ht="15.75" customHeight="1">
      <c r="I791" s="77"/>
      <c r="AS791" s="20"/>
      <c r="AT791" s="20"/>
      <c r="AU791" s="20"/>
      <c r="AV791" s="20"/>
      <c r="AW791" s="20"/>
      <c r="AX791" s="20"/>
      <c r="AY791" s="20"/>
      <c r="AZ791" s="20"/>
    </row>
    <row r="792" ht="15.75" customHeight="1">
      <c r="I792" s="77"/>
      <c r="AS792" s="20"/>
      <c r="AT792" s="20"/>
      <c r="AU792" s="20"/>
      <c r="AV792" s="20"/>
      <c r="AW792" s="20"/>
      <c r="AX792" s="20"/>
      <c r="AY792" s="20"/>
      <c r="AZ792" s="20"/>
    </row>
    <row r="793" ht="15.75" customHeight="1">
      <c r="I793" s="77"/>
      <c r="AS793" s="20"/>
      <c r="AT793" s="20"/>
      <c r="AU793" s="20"/>
      <c r="AV793" s="20"/>
      <c r="AW793" s="20"/>
      <c r="AX793" s="20"/>
      <c r="AY793" s="20"/>
      <c r="AZ793" s="20"/>
    </row>
    <row r="794" ht="15.75" customHeight="1">
      <c r="I794" s="77"/>
      <c r="AS794" s="20"/>
      <c r="AT794" s="20"/>
      <c r="AU794" s="20"/>
      <c r="AV794" s="20"/>
      <c r="AW794" s="20"/>
      <c r="AX794" s="20"/>
      <c r="AY794" s="20"/>
      <c r="AZ794" s="20"/>
    </row>
    <row r="795" ht="15.75" customHeight="1">
      <c r="I795" s="77"/>
      <c r="AS795" s="20"/>
      <c r="AT795" s="20"/>
      <c r="AU795" s="20"/>
      <c r="AV795" s="20"/>
      <c r="AW795" s="20"/>
      <c r="AX795" s="20"/>
      <c r="AY795" s="20"/>
      <c r="AZ795" s="20"/>
    </row>
    <row r="796" ht="15.75" customHeight="1">
      <c r="I796" s="77"/>
      <c r="AS796" s="20"/>
      <c r="AT796" s="20"/>
      <c r="AU796" s="20"/>
      <c r="AV796" s="20"/>
      <c r="AW796" s="20"/>
      <c r="AX796" s="20"/>
      <c r="AY796" s="20"/>
      <c r="AZ796" s="20"/>
    </row>
    <row r="797" ht="15.75" customHeight="1">
      <c r="I797" s="77"/>
      <c r="AS797" s="20"/>
      <c r="AT797" s="20"/>
      <c r="AU797" s="20"/>
      <c r="AV797" s="20"/>
      <c r="AW797" s="20"/>
      <c r="AX797" s="20"/>
      <c r="AY797" s="20"/>
      <c r="AZ797" s="20"/>
    </row>
    <row r="798" ht="15.75" customHeight="1">
      <c r="I798" s="77"/>
      <c r="AS798" s="20"/>
      <c r="AT798" s="20"/>
      <c r="AU798" s="20"/>
      <c r="AV798" s="20"/>
      <c r="AW798" s="20"/>
      <c r="AX798" s="20"/>
      <c r="AY798" s="20"/>
      <c r="AZ798" s="20"/>
    </row>
    <row r="799" ht="15.75" customHeight="1">
      <c r="I799" s="77"/>
      <c r="AS799" s="20"/>
      <c r="AT799" s="20"/>
      <c r="AU799" s="20"/>
      <c r="AV799" s="20"/>
      <c r="AW799" s="20"/>
      <c r="AX799" s="20"/>
      <c r="AY799" s="20"/>
      <c r="AZ799" s="20"/>
    </row>
    <row r="800" ht="15.75" customHeight="1">
      <c r="I800" s="77"/>
      <c r="AS800" s="20"/>
      <c r="AT800" s="20"/>
      <c r="AU800" s="20"/>
      <c r="AV800" s="20"/>
      <c r="AW800" s="20"/>
      <c r="AX800" s="20"/>
      <c r="AY800" s="20"/>
      <c r="AZ800" s="20"/>
    </row>
    <row r="801" ht="15.75" customHeight="1">
      <c r="I801" s="77"/>
      <c r="AS801" s="20"/>
      <c r="AT801" s="20"/>
      <c r="AU801" s="20"/>
      <c r="AV801" s="20"/>
      <c r="AW801" s="20"/>
      <c r="AX801" s="20"/>
      <c r="AY801" s="20"/>
      <c r="AZ801" s="20"/>
    </row>
    <row r="802" ht="15.75" customHeight="1">
      <c r="I802" s="77"/>
      <c r="AS802" s="20"/>
      <c r="AT802" s="20"/>
      <c r="AU802" s="20"/>
      <c r="AV802" s="20"/>
      <c r="AW802" s="20"/>
      <c r="AX802" s="20"/>
      <c r="AY802" s="20"/>
      <c r="AZ802" s="20"/>
    </row>
    <row r="803" ht="15.75" customHeight="1">
      <c r="I803" s="77"/>
      <c r="AS803" s="20"/>
      <c r="AT803" s="20"/>
      <c r="AU803" s="20"/>
      <c r="AV803" s="20"/>
      <c r="AW803" s="20"/>
      <c r="AX803" s="20"/>
      <c r="AY803" s="20"/>
      <c r="AZ803" s="20"/>
    </row>
    <row r="804" ht="15.75" customHeight="1">
      <c r="I804" s="77"/>
      <c r="AS804" s="20"/>
      <c r="AT804" s="20"/>
      <c r="AU804" s="20"/>
      <c r="AV804" s="20"/>
      <c r="AW804" s="20"/>
      <c r="AX804" s="20"/>
      <c r="AY804" s="20"/>
      <c r="AZ804" s="20"/>
    </row>
    <row r="805" ht="15.75" customHeight="1">
      <c r="I805" s="77"/>
      <c r="AS805" s="20"/>
      <c r="AT805" s="20"/>
      <c r="AU805" s="20"/>
      <c r="AV805" s="20"/>
      <c r="AW805" s="20"/>
      <c r="AX805" s="20"/>
      <c r="AY805" s="20"/>
      <c r="AZ805" s="20"/>
    </row>
    <row r="806" ht="15.75" customHeight="1">
      <c r="I806" s="77"/>
      <c r="AS806" s="20"/>
      <c r="AT806" s="20"/>
      <c r="AU806" s="20"/>
      <c r="AV806" s="20"/>
      <c r="AW806" s="20"/>
      <c r="AX806" s="20"/>
      <c r="AY806" s="20"/>
      <c r="AZ806" s="20"/>
    </row>
    <row r="807" ht="15.75" customHeight="1">
      <c r="I807" s="77"/>
      <c r="AS807" s="20"/>
      <c r="AT807" s="20"/>
      <c r="AU807" s="20"/>
      <c r="AV807" s="20"/>
      <c r="AW807" s="20"/>
      <c r="AX807" s="20"/>
      <c r="AY807" s="20"/>
      <c r="AZ807" s="20"/>
    </row>
    <row r="808" ht="15.75" customHeight="1">
      <c r="I808" s="77"/>
      <c r="AS808" s="20"/>
      <c r="AT808" s="20"/>
      <c r="AU808" s="20"/>
      <c r="AV808" s="20"/>
      <c r="AW808" s="20"/>
      <c r="AX808" s="20"/>
      <c r="AY808" s="20"/>
      <c r="AZ808" s="20"/>
    </row>
    <row r="809" ht="15.75" customHeight="1">
      <c r="I809" s="77"/>
      <c r="AS809" s="20"/>
      <c r="AT809" s="20"/>
      <c r="AU809" s="20"/>
      <c r="AV809" s="20"/>
      <c r="AW809" s="20"/>
      <c r="AX809" s="20"/>
      <c r="AY809" s="20"/>
      <c r="AZ809" s="20"/>
    </row>
    <row r="810" ht="15.75" customHeight="1">
      <c r="I810" s="77"/>
      <c r="AS810" s="20"/>
      <c r="AT810" s="20"/>
      <c r="AU810" s="20"/>
      <c r="AV810" s="20"/>
      <c r="AW810" s="20"/>
      <c r="AX810" s="20"/>
      <c r="AY810" s="20"/>
      <c r="AZ810" s="20"/>
    </row>
    <row r="811" ht="15.75" customHeight="1">
      <c r="I811" s="77"/>
      <c r="AS811" s="20"/>
      <c r="AT811" s="20"/>
      <c r="AU811" s="20"/>
      <c r="AV811" s="20"/>
      <c r="AW811" s="20"/>
      <c r="AX811" s="20"/>
      <c r="AY811" s="20"/>
      <c r="AZ811" s="20"/>
    </row>
    <row r="812" ht="15.75" customHeight="1">
      <c r="I812" s="77"/>
      <c r="AS812" s="20"/>
      <c r="AT812" s="20"/>
      <c r="AU812" s="20"/>
      <c r="AV812" s="20"/>
      <c r="AW812" s="20"/>
      <c r="AX812" s="20"/>
      <c r="AY812" s="20"/>
      <c r="AZ812" s="20"/>
    </row>
    <row r="813" ht="15.75" customHeight="1">
      <c r="I813" s="77"/>
      <c r="AS813" s="20"/>
      <c r="AT813" s="20"/>
      <c r="AU813" s="20"/>
      <c r="AV813" s="20"/>
      <c r="AW813" s="20"/>
      <c r="AX813" s="20"/>
      <c r="AY813" s="20"/>
      <c r="AZ813" s="20"/>
    </row>
    <row r="814" ht="15.75" customHeight="1">
      <c r="I814" s="77"/>
      <c r="AS814" s="20"/>
      <c r="AT814" s="20"/>
      <c r="AU814" s="20"/>
      <c r="AV814" s="20"/>
      <c r="AW814" s="20"/>
      <c r="AX814" s="20"/>
      <c r="AY814" s="20"/>
      <c r="AZ814" s="20"/>
    </row>
    <row r="815" ht="15.75" customHeight="1">
      <c r="I815" s="77"/>
      <c r="AS815" s="20"/>
      <c r="AT815" s="20"/>
      <c r="AU815" s="20"/>
      <c r="AV815" s="20"/>
      <c r="AW815" s="20"/>
      <c r="AX815" s="20"/>
      <c r="AY815" s="20"/>
      <c r="AZ815" s="20"/>
    </row>
    <row r="816" ht="15.75" customHeight="1">
      <c r="I816" s="77"/>
      <c r="AS816" s="20"/>
      <c r="AT816" s="20"/>
      <c r="AU816" s="20"/>
      <c r="AV816" s="20"/>
      <c r="AW816" s="20"/>
      <c r="AX816" s="20"/>
      <c r="AY816" s="20"/>
      <c r="AZ816" s="20"/>
    </row>
    <row r="817" ht="15.75" customHeight="1">
      <c r="I817" s="77"/>
      <c r="AS817" s="20"/>
      <c r="AT817" s="20"/>
      <c r="AU817" s="20"/>
      <c r="AV817" s="20"/>
      <c r="AW817" s="20"/>
      <c r="AX817" s="20"/>
      <c r="AY817" s="20"/>
      <c r="AZ817" s="20"/>
    </row>
    <row r="818" ht="15.75" customHeight="1">
      <c r="I818" s="77"/>
      <c r="AS818" s="20"/>
      <c r="AT818" s="20"/>
      <c r="AU818" s="20"/>
      <c r="AV818" s="20"/>
      <c r="AW818" s="20"/>
      <c r="AX818" s="20"/>
      <c r="AY818" s="20"/>
      <c r="AZ818" s="20"/>
    </row>
    <row r="819" ht="15.75" customHeight="1">
      <c r="I819" s="77"/>
      <c r="AS819" s="20"/>
      <c r="AT819" s="20"/>
      <c r="AU819" s="20"/>
      <c r="AV819" s="20"/>
      <c r="AW819" s="20"/>
      <c r="AX819" s="20"/>
      <c r="AY819" s="20"/>
      <c r="AZ819" s="20"/>
    </row>
    <row r="820" ht="15.75" customHeight="1">
      <c r="I820" s="77"/>
      <c r="AS820" s="20"/>
      <c r="AT820" s="20"/>
      <c r="AU820" s="20"/>
      <c r="AV820" s="20"/>
      <c r="AW820" s="20"/>
      <c r="AX820" s="20"/>
      <c r="AY820" s="20"/>
      <c r="AZ820" s="20"/>
    </row>
    <row r="821" ht="15.75" customHeight="1">
      <c r="I821" s="77"/>
      <c r="AS821" s="20"/>
      <c r="AT821" s="20"/>
      <c r="AU821" s="20"/>
      <c r="AV821" s="20"/>
      <c r="AW821" s="20"/>
      <c r="AX821" s="20"/>
      <c r="AY821" s="20"/>
      <c r="AZ821" s="20"/>
    </row>
    <row r="822" ht="15.75" customHeight="1">
      <c r="I822" s="77"/>
      <c r="AS822" s="20"/>
      <c r="AT822" s="20"/>
      <c r="AU822" s="20"/>
      <c r="AV822" s="20"/>
      <c r="AW822" s="20"/>
      <c r="AX822" s="20"/>
      <c r="AY822" s="20"/>
      <c r="AZ822" s="20"/>
    </row>
    <row r="823" ht="15.75" customHeight="1">
      <c r="I823" s="77"/>
      <c r="AS823" s="20"/>
      <c r="AT823" s="20"/>
      <c r="AU823" s="20"/>
      <c r="AV823" s="20"/>
      <c r="AW823" s="20"/>
      <c r="AX823" s="20"/>
      <c r="AY823" s="20"/>
      <c r="AZ823" s="20"/>
    </row>
    <row r="824" ht="15.75" customHeight="1">
      <c r="I824" s="77"/>
      <c r="AS824" s="20"/>
      <c r="AT824" s="20"/>
      <c r="AU824" s="20"/>
      <c r="AV824" s="20"/>
      <c r="AW824" s="20"/>
      <c r="AX824" s="20"/>
      <c r="AY824" s="20"/>
      <c r="AZ824" s="20"/>
    </row>
    <row r="825" ht="15.75" customHeight="1">
      <c r="I825" s="77"/>
      <c r="AS825" s="20"/>
      <c r="AT825" s="20"/>
      <c r="AU825" s="20"/>
      <c r="AV825" s="20"/>
      <c r="AW825" s="20"/>
      <c r="AX825" s="20"/>
      <c r="AY825" s="20"/>
      <c r="AZ825" s="20"/>
    </row>
    <row r="826" ht="15.75" customHeight="1">
      <c r="I826" s="77"/>
      <c r="AS826" s="20"/>
      <c r="AT826" s="20"/>
      <c r="AU826" s="20"/>
      <c r="AV826" s="20"/>
      <c r="AW826" s="20"/>
      <c r="AX826" s="20"/>
      <c r="AY826" s="20"/>
      <c r="AZ826" s="20"/>
    </row>
    <row r="827" ht="15.75" customHeight="1">
      <c r="I827" s="77"/>
      <c r="AS827" s="20"/>
      <c r="AT827" s="20"/>
      <c r="AU827" s="20"/>
      <c r="AV827" s="20"/>
      <c r="AW827" s="20"/>
      <c r="AX827" s="20"/>
      <c r="AY827" s="20"/>
      <c r="AZ827" s="20"/>
    </row>
    <row r="828" ht="15.75" customHeight="1">
      <c r="I828" s="77"/>
      <c r="AS828" s="20"/>
      <c r="AT828" s="20"/>
      <c r="AU828" s="20"/>
      <c r="AV828" s="20"/>
      <c r="AW828" s="20"/>
      <c r="AX828" s="20"/>
      <c r="AY828" s="20"/>
      <c r="AZ828" s="20"/>
    </row>
    <row r="829" ht="15.75" customHeight="1">
      <c r="I829" s="77"/>
      <c r="AS829" s="20"/>
      <c r="AT829" s="20"/>
      <c r="AU829" s="20"/>
      <c r="AV829" s="20"/>
      <c r="AW829" s="20"/>
      <c r="AX829" s="20"/>
      <c r="AY829" s="20"/>
      <c r="AZ829" s="20"/>
    </row>
    <row r="830" ht="15.75" customHeight="1">
      <c r="I830" s="77"/>
      <c r="AS830" s="20"/>
      <c r="AT830" s="20"/>
      <c r="AU830" s="20"/>
      <c r="AV830" s="20"/>
      <c r="AW830" s="20"/>
      <c r="AX830" s="20"/>
      <c r="AY830" s="20"/>
      <c r="AZ830" s="20"/>
    </row>
    <row r="831" ht="15.75" customHeight="1">
      <c r="I831" s="77"/>
      <c r="AS831" s="20"/>
      <c r="AT831" s="20"/>
      <c r="AU831" s="20"/>
      <c r="AV831" s="20"/>
      <c r="AW831" s="20"/>
      <c r="AX831" s="20"/>
      <c r="AY831" s="20"/>
      <c r="AZ831" s="20"/>
    </row>
    <row r="832" ht="15.75" customHeight="1">
      <c r="I832" s="77"/>
      <c r="AS832" s="20"/>
      <c r="AT832" s="20"/>
      <c r="AU832" s="20"/>
      <c r="AV832" s="20"/>
      <c r="AW832" s="20"/>
      <c r="AX832" s="20"/>
      <c r="AY832" s="20"/>
      <c r="AZ832" s="20"/>
    </row>
    <row r="833" ht="15.75" customHeight="1">
      <c r="I833" s="77"/>
      <c r="AS833" s="20"/>
      <c r="AT833" s="20"/>
      <c r="AU833" s="20"/>
      <c r="AV833" s="20"/>
      <c r="AW833" s="20"/>
      <c r="AX833" s="20"/>
      <c r="AY833" s="20"/>
      <c r="AZ833" s="20"/>
    </row>
    <row r="834" ht="15.75" customHeight="1">
      <c r="I834" s="77"/>
      <c r="AS834" s="20"/>
      <c r="AT834" s="20"/>
      <c r="AU834" s="20"/>
      <c r="AV834" s="20"/>
      <c r="AW834" s="20"/>
      <c r="AX834" s="20"/>
      <c r="AY834" s="20"/>
      <c r="AZ834" s="20"/>
    </row>
    <row r="835" ht="15.75" customHeight="1">
      <c r="I835" s="77"/>
      <c r="AS835" s="20"/>
      <c r="AT835" s="20"/>
      <c r="AU835" s="20"/>
      <c r="AV835" s="20"/>
      <c r="AW835" s="20"/>
      <c r="AX835" s="20"/>
      <c r="AY835" s="20"/>
      <c r="AZ835" s="20"/>
    </row>
    <row r="836" ht="15.75" customHeight="1">
      <c r="I836" s="77"/>
      <c r="AS836" s="20"/>
      <c r="AT836" s="20"/>
      <c r="AU836" s="20"/>
      <c r="AV836" s="20"/>
      <c r="AW836" s="20"/>
      <c r="AX836" s="20"/>
      <c r="AY836" s="20"/>
      <c r="AZ836" s="20"/>
    </row>
    <row r="837" ht="15.75" customHeight="1">
      <c r="I837" s="77"/>
      <c r="AS837" s="20"/>
      <c r="AT837" s="20"/>
      <c r="AU837" s="20"/>
      <c r="AV837" s="20"/>
      <c r="AW837" s="20"/>
      <c r="AX837" s="20"/>
      <c r="AY837" s="20"/>
      <c r="AZ837" s="20"/>
    </row>
    <row r="838" ht="15.75" customHeight="1">
      <c r="I838" s="77"/>
      <c r="AS838" s="20"/>
      <c r="AT838" s="20"/>
      <c r="AU838" s="20"/>
      <c r="AV838" s="20"/>
      <c r="AW838" s="20"/>
      <c r="AX838" s="20"/>
      <c r="AY838" s="20"/>
      <c r="AZ838" s="20"/>
    </row>
    <row r="839" ht="15.75" customHeight="1">
      <c r="I839" s="77"/>
      <c r="AS839" s="20"/>
      <c r="AT839" s="20"/>
      <c r="AU839" s="20"/>
      <c r="AV839" s="20"/>
      <c r="AW839" s="20"/>
      <c r="AX839" s="20"/>
      <c r="AY839" s="20"/>
      <c r="AZ839" s="20"/>
    </row>
    <row r="840" ht="15.75" customHeight="1">
      <c r="I840" s="77"/>
      <c r="AS840" s="20"/>
      <c r="AT840" s="20"/>
      <c r="AU840" s="20"/>
      <c r="AV840" s="20"/>
      <c r="AW840" s="20"/>
      <c r="AX840" s="20"/>
      <c r="AY840" s="20"/>
      <c r="AZ840" s="20"/>
    </row>
    <row r="841" ht="15.75" customHeight="1">
      <c r="I841" s="77"/>
      <c r="AS841" s="20"/>
      <c r="AT841" s="20"/>
      <c r="AU841" s="20"/>
      <c r="AV841" s="20"/>
      <c r="AW841" s="20"/>
      <c r="AX841" s="20"/>
      <c r="AY841" s="20"/>
      <c r="AZ841" s="20"/>
    </row>
    <row r="842" ht="15.75" customHeight="1">
      <c r="I842" s="77"/>
      <c r="AS842" s="20"/>
      <c r="AT842" s="20"/>
      <c r="AU842" s="20"/>
      <c r="AV842" s="20"/>
      <c r="AW842" s="20"/>
      <c r="AX842" s="20"/>
      <c r="AY842" s="20"/>
      <c r="AZ842" s="20"/>
    </row>
    <row r="843" ht="15.75" customHeight="1">
      <c r="I843" s="77"/>
      <c r="AS843" s="20"/>
      <c r="AT843" s="20"/>
      <c r="AU843" s="20"/>
      <c r="AV843" s="20"/>
      <c r="AW843" s="20"/>
      <c r="AX843" s="20"/>
      <c r="AY843" s="20"/>
      <c r="AZ843" s="20"/>
    </row>
    <row r="844" ht="15.75" customHeight="1">
      <c r="I844" s="77"/>
      <c r="AS844" s="20"/>
      <c r="AT844" s="20"/>
      <c r="AU844" s="20"/>
      <c r="AV844" s="20"/>
      <c r="AW844" s="20"/>
      <c r="AX844" s="20"/>
      <c r="AY844" s="20"/>
      <c r="AZ844" s="20"/>
    </row>
    <row r="845" ht="15.75" customHeight="1">
      <c r="I845" s="77"/>
      <c r="AS845" s="20"/>
      <c r="AT845" s="20"/>
      <c r="AU845" s="20"/>
      <c r="AV845" s="20"/>
      <c r="AW845" s="20"/>
      <c r="AX845" s="20"/>
      <c r="AY845" s="20"/>
      <c r="AZ845" s="20"/>
    </row>
    <row r="846" ht="15.75" customHeight="1">
      <c r="I846" s="77"/>
      <c r="AS846" s="20"/>
      <c r="AT846" s="20"/>
      <c r="AU846" s="20"/>
      <c r="AV846" s="20"/>
      <c r="AW846" s="20"/>
      <c r="AX846" s="20"/>
      <c r="AY846" s="20"/>
      <c r="AZ846" s="20"/>
    </row>
    <row r="847" ht="15.75" customHeight="1">
      <c r="I847" s="77"/>
      <c r="AS847" s="20"/>
      <c r="AT847" s="20"/>
      <c r="AU847" s="20"/>
      <c r="AV847" s="20"/>
      <c r="AW847" s="20"/>
      <c r="AX847" s="20"/>
      <c r="AY847" s="20"/>
      <c r="AZ847" s="20"/>
    </row>
    <row r="848" ht="15.75" customHeight="1">
      <c r="I848" s="77"/>
      <c r="AS848" s="20"/>
      <c r="AT848" s="20"/>
      <c r="AU848" s="20"/>
      <c r="AV848" s="20"/>
      <c r="AW848" s="20"/>
      <c r="AX848" s="20"/>
      <c r="AY848" s="20"/>
      <c r="AZ848" s="20"/>
    </row>
    <row r="849" ht="15.75" customHeight="1">
      <c r="I849" s="77"/>
      <c r="AS849" s="20"/>
      <c r="AT849" s="20"/>
      <c r="AU849" s="20"/>
      <c r="AV849" s="20"/>
      <c r="AW849" s="20"/>
      <c r="AX849" s="20"/>
      <c r="AY849" s="20"/>
      <c r="AZ849" s="20"/>
    </row>
    <row r="850" ht="15.75" customHeight="1">
      <c r="I850" s="77"/>
      <c r="AS850" s="20"/>
      <c r="AT850" s="20"/>
      <c r="AU850" s="20"/>
      <c r="AV850" s="20"/>
      <c r="AW850" s="20"/>
      <c r="AX850" s="20"/>
      <c r="AY850" s="20"/>
      <c r="AZ850" s="20"/>
    </row>
    <row r="851" ht="15.75" customHeight="1">
      <c r="I851" s="77"/>
      <c r="AS851" s="20"/>
      <c r="AT851" s="20"/>
      <c r="AU851" s="20"/>
      <c r="AV851" s="20"/>
      <c r="AW851" s="20"/>
      <c r="AX851" s="20"/>
      <c r="AY851" s="20"/>
      <c r="AZ851" s="20"/>
    </row>
    <row r="852" ht="15.75" customHeight="1">
      <c r="I852" s="77"/>
      <c r="AS852" s="20"/>
      <c r="AT852" s="20"/>
      <c r="AU852" s="20"/>
      <c r="AV852" s="20"/>
      <c r="AW852" s="20"/>
      <c r="AX852" s="20"/>
      <c r="AY852" s="20"/>
      <c r="AZ852" s="20"/>
    </row>
    <row r="853" ht="15.75" customHeight="1">
      <c r="I853" s="77"/>
      <c r="AS853" s="20"/>
      <c r="AT853" s="20"/>
      <c r="AU853" s="20"/>
      <c r="AV853" s="20"/>
      <c r="AW853" s="20"/>
      <c r="AX853" s="20"/>
      <c r="AY853" s="20"/>
      <c r="AZ853" s="20"/>
    </row>
    <row r="854" ht="15.75" customHeight="1">
      <c r="I854" s="77"/>
      <c r="AS854" s="20"/>
      <c r="AT854" s="20"/>
      <c r="AU854" s="20"/>
      <c r="AV854" s="20"/>
      <c r="AW854" s="20"/>
      <c r="AX854" s="20"/>
      <c r="AY854" s="20"/>
      <c r="AZ854" s="20"/>
    </row>
    <row r="855" ht="15.75" customHeight="1">
      <c r="I855" s="77"/>
      <c r="AS855" s="20"/>
      <c r="AT855" s="20"/>
      <c r="AU855" s="20"/>
      <c r="AV855" s="20"/>
      <c r="AW855" s="20"/>
      <c r="AX855" s="20"/>
      <c r="AY855" s="20"/>
      <c r="AZ855" s="20"/>
    </row>
    <row r="856" ht="15.75" customHeight="1">
      <c r="I856" s="77"/>
      <c r="AS856" s="20"/>
      <c r="AT856" s="20"/>
      <c r="AU856" s="20"/>
      <c r="AV856" s="20"/>
      <c r="AW856" s="20"/>
      <c r="AX856" s="20"/>
      <c r="AY856" s="20"/>
      <c r="AZ856" s="20"/>
    </row>
    <row r="857" ht="15.75" customHeight="1">
      <c r="I857" s="77"/>
      <c r="AS857" s="20"/>
      <c r="AT857" s="20"/>
      <c r="AU857" s="20"/>
      <c r="AV857" s="20"/>
      <c r="AW857" s="20"/>
      <c r="AX857" s="20"/>
      <c r="AY857" s="20"/>
      <c r="AZ857" s="20"/>
    </row>
    <row r="858" ht="15.75" customHeight="1">
      <c r="I858" s="77"/>
      <c r="AS858" s="20"/>
      <c r="AT858" s="20"/>
      <c r="AU858" s="20"/>
      <c r="AV858" s="20"/>
      <c r="AW858" s="20"/>
      <c r="AX858" s="20"/>
      <c r="AY858" s="20"/>
      <c r="AZ858" s="20"/>
    </row>
    <row r="859" ht="15.75" customHeight="1">
      <c r="I859" s="77"/>
      <c r="AS859" s="20"/>
      <c r="AT859" s="20"/>
      <c r="AU859" s="20"/>
      <c r="AV859" s="20"/>
      <c r="AW859" s="20"/>
      <c r="AX859" s="20"/>
      <c r="AY859" s="20"/>
      <c r="AZ859" s="20"/>
    </row>
    <row r="860" ht="15.75" customHeight="1">
      <c r="I860" s="77"/>
      <c r="AS860" s="20"/>
      <c r="AT860" s="20"/>
      <c r="AU860" s="20"/>
      <c r="AV860" s="20"/>
      <c r="AW860" s="20"/>
      <c r="AX860" s="20"/>
      <c r="AY860" s="20"/>
      <c r="AZ860" s="20"/>
    </row>
    <row r="861" ht="15.75" customHeight="1">
      <c r="I861" s="77"/>
      <c r="AS861" s="20"/>
      <c r="AT861" s="20"/>
      <c r="AU861" s="20"/>
      <c r="AV861" s="20"/>
      <c r="AW861" s="20"/>
      <c r="AX861" s="20"/>
      <c r="AY861" s="20"/>
      <c r="AZ861" s="20"/>
    </row>
    <row r="862" ht="15.75" customHeight="1">
      <c r="I862" s="77"/>
      <c r="AS862" s="20"/>
      <c r="AT862" s="20"/>
      <c r="AU862" s="20"/>
      <c r="AV862" s="20"/>
      <c r="AW862" s="20"/>
      <c r="AX862" s="20"/>
      <c r="AY862" s="20"/>
      <c r="AZ862" s="20"/>
    </row>
    <row r="863" ht="15.75" customHeight="1">
      <c r="I863" s="77"/>
      <c r="AS863" s="20"/>
      <c r="AT863" s="20"/>
      <c r="AU863" s="20"/>
      <c r="AV863" s="20"/>
      <c r="AW863" s="20"/>
      <c r="AX863" s="20"/>
      <c r="AY863" s="20"/>
      <c r="AZ863" s="20"/>
    </row>
    <row r="864" ht="15.75" customHeight="1">
      <c r="I864" s="77"/>
      <c r="AS864" s="20"/>
      <c r="AT864" s="20"/>
      <c r="AU864" s="20"/>
      <c r="AV864" s="20"/>
      <c r="AW864" s="20"/>
      <c r="AX864" s="20"/>
      <c r="AY864" s="20"/>
      <c r="AZ864" s="20"/>
    </row>
    <row r="865" ht="15.75" customHeight="1">
      <c r="I865" s="77"/>
      <c r="AS865" s="20"/>
      <c r="AT865" s="20"/>
      <c r="AU865" s="20"/>
      <c r="AV865" s="20"/>
      <c r="AW865" s="20"/>
      <c r="AX865" s="20"/>
      <c r="AY865" s="20"/>
      <c r="AZ865" s="20"/>
    </row>
    <row r="866" ht="15.75" customHeight="1">
      <c r="I866" s="77"/>
      <c r="AS866" s="20"/>
      <c r="AT866" s="20"/>
      <c r="AU866" s="20"/>
      <c r="AV866" s="20"/>
      <c r="AW866" s="20"/>
      <c r="AX866" s="20"/>
      <c r="AY866" s="20"/>
      <c r="AZ866" s="20"/>
    </row>
    <row r="867" ht="15.75" customHeight="1">
      <c r="I867" s="77"/>
      <c r="AS867" s="20"/>
      <c r="AT867" s="20"/>
      <c r="AU867" s="20"/>
      <c r="AV867" s="20"/>
      <c r="AW867" s="20"/>
      <c r="AX867" s="20"/>
      <c r="AY867" s="20"/>
      <c r="AZ867" s="20"/>
    </row>
    <row r="868" ht="15.75" customHeight="1">
      <c r="I868" s="77"/>
      <c r="AS868" s="20"/>
      <c r="AT868" s="20"/>
      <c r="AU868" s="20"/>
      <c r="AV868" s="20"/>
      <c r="AW868" s="20"/>
      <c r="AX868" s="20"/>
      <c r="AY868" s="20"/>
      <c r="AZ868" s="20"/>
    </row>
    <row r="869" ht="15.75" customHeight="1">
      <c r="I869" s="77"/>
      <c r="AS869" s="20"/>
      <c r="AT869" s="20"/>
      <c r="AU869" s="20"/>
      <c r="AV869" s="20"/>
      <c r="AW869" s="20"/>
      <c r="AX869" s="20"/>
      <c r="AY869" s="20"/>
      <c r="AZ869" s="20"/>
    </row>
    <row r="870" ht="15.75" customHeight="1">
      <c r="I870" s="77"/>
      <c r="AS870" s="20"/>
      <c r="AT870" s="20"/>
      <c r="AU870" s="20"/>
      <c r="AV870" s="20"/>
      <c r="AW870" s="20"/>
      <c r="AX870" s="20"/>
      <c r="AY870" s="20"/>
      <c r="AZ870" s="20"/>
    </row>
    <row r="871" ht="15.75" customHeight="1">
      <c r="I871" s="77"/>
      <c r="AS871" s="20"/>
      <c r="AT871" s="20"/>
      <c r="AU871" s="20"/>
      <c r="AV871" s="20"/>
      <c r="AW871" s="20"/>
      <c r="AX871" s="20"/>
      <c r="AY871" s="20"/>
      <c r="AZ871" s="20"/>
    </row>
    <row r="872" ht="15.75" customHeight="1">
      <c r="I872" s="77"/>
      <c r="AS872" s="20"/>
      <c r="AT872" s="20"/>
      <c r="AU872" s="20"/>
      <c r="AV872" s="20"/>
      <c r="AW872" s="20"/>
      <c r="AX872" s="20"/>
      <c r="AY872" s="20"/>
      <c r="AZ872" s="20"/>
    </row>
    <row r="873" ht="15.75" customHeight="1">
      <c r="I873" s="77"/>
      <c r="AS873" s="20"/>
      <c r="AT873" s="20"/>
      <c r="AU873" s="20"/>
      <c r="AV873" s="20"/>
      <c r="AW873" s="20"/>
      <c r="AX873" s="20"/>
      <c r="AY873" s="20"/>
      <c r="AZ873" s="20"/>
    </row>
    <row r="874" ht="15.75" customHeight="1">
      <c r="I874" s="77"/>
      <c r="AS874" s="20"/>
      <c r="AT874" s="20"/>
      <c r="AU874" s="20"/>
      <c r="AV874" s="20"/>
      <c r="AW874" s="20"/>
      <c r="AX874" s="20"/>
      <c r="AY874" s="20"/>
      <c r="AZ874" s="20"/>
    </row>
    <row r="875" ht="15.75" customHeight="1">
      <c r="I875" s="77"/>
      <c r="AS875" s="20"/>
      <c r="AT875" s="20"/>
      <c r="AU875" s="20"/>
      <c r="AV875" s="20"/>
      <c r="AW875" s="20"/>
      <c r="AX875" s="20"/>
      <c r="AY875" s="20"/>
      <c r="AZ875" s="20"/>
    </row>
    <row r="876" ht="15.75" customHeight="1">
      <c r="I876" s="77"/>
      <c r="AS876" s="20"/>
      <c r="AT876" s="20"/>
      <c r="AU876" s="20"/>
      <c r="AV876" s="20"/>
      <c r="AW876" s="20"/>
      <c r="AX876" s="20"/>
      <c r="AY876" s="20"/>
      <c r="AZ876" s="20"/>
    </row>
    <row r="877" ht="15.75" customHeight="1">
      <c r="I877" s="77"/>
      <c r="AS877" s="20"/>
      <c r="AT877" s="20"/>
      <c r="AU877" s="20"/>
      <c r="AV877" s="20"/>
      <c r="AW877" s="20"/>
      <c r="AX877" s="20"/>
      <c r="AY877" s="20"/>
      <c r="AZ877" s="20"/>
    </row>
    <row r="878" ht="15.75" customHeight="1">
      <c r="I878" s="77"/>
      <c r="AS878" s="20"/>
      <c r="AT878" s="20"/>
      <c r="AU878" s="20"/>
      <c r="AV878" s="20"/>
      <c r="AW878" s="20"/>
      <c r="AX878" s="20"/>
      <c r="AY878" s="20"/>
      <c r="AZ878" s="20"/>
    </row>
    <row r="879" ht="15.75" customHeight="1">
      <c r="I879" s="77"/>
      <c r="AS879" s="20"/>
      <c r="AT879" s="20"/>
      <c r="AU879" s="20"/>
      <c r="AV879" s="20"/>
      <c r="AW879" s="20"/>
      <c r="AX879" s="20"/>
      <c r="AY879" s="20"/>
      <c r="AZ879" s="20"/>
    </row>
    <row r="880" ht="15.75" customHeight="1">
      <c r="I880" s="77"/>
      <c r="AS880" s="20"/>
      <c r="AT880" s="20"/>
      <c r="AU880" s="20"/>
      <c r="AV880" s="20"/>
      <c r="AW880" s="20"/>
      <c r="AX880" s="20"/>
      <c r="AY880" s="20"/>
      <c r="AZ880" s="20"/>
    </row>
    <row r="881" ht="15.75" customHeight="1">
      <c r="I881" s="77"/>
      <c r="AS881" s="20"/>
      <c r="AT881" s="20"/>
      <c r="AU881" s="20"/>
      <c r="AV881" s="20"/>
      <c r="AW881" s="20"/>
      <c r="AX881" s="20"/>
      <c r="AY881" s="20"/>
      <c r="AZ881" s="20"/>
    </row>
    <row r="882" ht="15.75" customHeight="1">
      <c r="I882" s="77"/>
      <c r="AS882" s="20"/>
      <c r="AT882" s="20"/>
      <c r="AU882" s="20"/>
      <c r="AV882" s="20"/>
      <c r="AW882" s="20"/>
      <c r="AX882" s="20"/>
      <c r="AY882" s="20"/>
      <c r="AZ882" s="20"/>
    </row>
    <row r="883" ht="15.75" customHeight="1">
      <c r="I883" s="77"/>
      <c r="AS883" s="20"/>
      <c r="AT883" s="20"/>
      <c r="AU883" s="20"/>
      <c r="AV883" s="20"/>
      <c r="AW883" s="20"/>
      <c r="AX883" s="20"/>
      <c r="AY883" s="20"/>
      <c r="AZ883" s="20"/>
    </row>
    <row r="884" ht="15.75" customHeight="1">
      <c r="I884" s="77"/>
      <c r="AS884" s="20"/>
      <c r="AT884" s="20"/>
      <c r="AU884" s="20"/>
      <c r="AV884" s="20"/>
      <c r="AW884" s="20"/>
      <c r="AX884" s="20"/>
      <c r="AY884" s="20"/>
      <c r="AZ884" s="20"/>
    </row>
    <row r="885" ht="15.75" customHeight="1">
      <c r="I885" s="77"/>
      <c r="AS885" s="20"/>
      <c r="AT885" s="20"/>
      <c r="AU885" s="20"/>
      <c r="AV885" s="20"/>
      <c r="AW885" s="20"/>
      <c r="AX885" s="20"/>
      <c r="AY885" s="20"/>
      <c r="AZ885" s="20"/>
    </row>
    <row r="886" ht="15.75" customHeight="1">
      <c r="I886" s="77"/>
      <c r="AS886" s="20"/>
      <c r="AT886" s="20"/>
      <c r="AU886" s="20"/>
      <c r="AV886" s="20"/>
      <c r="AW886" s="20"/>
      <c r="AX886" s="20"/>
      <c r="AY886" s="20"/>
      <c r="AZ886" s="20"/>
    </row>
    <row r="887" ht="15.75" customHeight="1">
      <c r="I887" s="77"/>
      <c r="AS887" s="20"/>
      <c r="AT887" s="20"/>
      <c r="AU887" s="20"/>
      <c r="AV887" s="20"/>
      <c r="AW887" s="20"/>
      <c r="AX887" s="20"/>
      <c r="AY887" s="20"/>
      <c r="AZ887" s="20"/>
    </row>
    <row r="888" ht="15.75" customHeight="1">
      <c r="I888" s="77"/>
      <c r="AS888" s="20"/>
      <c r="AT888" s="20"/>
      <c r="AU888" s="20"/>
      <c r="AV888" s="20"/>
      <c r="AW888" s="20"/>
      <c r="AX888" s="20"/>
      <c r="AY888" s="20"/>
      <c r="AZ888" s="20"/>
    </row>
    <row r="889" ht="15.75" customHeight="1">
      <c r="I889" s="77"/>
      <c r="AS889" s="20"/>
      <c r="AT889" s="20"/>
      <c r="AU889" s="20"/>
      <c r="AV889" s="20"/>
      <c r="AW889" s="20"/>
      <c r="AX889" s="20"/>
      <c r="AY889" s="20"/>
      <c r="AZ889" s="20"/>
    </row>
    <row r="890" ht="15.75" customHeight="1">
      <c r="I890" s="77"/>
      <c r="AS890" s="20"/>
      <c r="AT890" s="20"/>
      <c r="AU890" s="20"/>
      <c r="AV890" s="20"/>
      <c r="AW890" s="20"/>
      <c r="AX890" s="20"/>
      <c r="AY890" s="20"/>
      <c r="AZ890" s="20"/>
    </row>
    <row r="891" ht="15.75" customHeight="1">
      <c r="I891" s="77"/>
      <c r="AS891" s="20"/>
      <c r="AT891" s="20"/>
      <c r="AU891" s="20"/>
      <c r="AV891" s="20"/>
      <c r="AW891" s="20"/>
      <c r="AX891" s="20"/>
      <c r="AY891" s="20"/>
      <c r="AZ891" s="20"/>
    </row>
    <row r="892" ht="15.75" customHeight="1">
      <c r="I892" s="77"/>
      <c r="AS892" s="20"/>
      <c r="AT892" s="20"/>
      <c r="AU892" s="20"/>
      <c r="AV892" s="20"/>
      <c r="AW892" s="20"/>
      <c r="AX892" s="20"/>
      <c r="AY892" s="20"/>
      <c r="AZ892" s="20"/>
    </row>
    <row r="893" ht="15.75" customHeight="1">
      <c r="I893" s="77"/>
      <c r="AS893" s="20"/>
      <c r="AT893" s="20"/>
      <c r="AU893" s="20"/>
      <c r="AV893" s="20"/>
      <c r="AW893" s="20"/>
      <c r="AX893" s="20"/>
      <c r="AY893" s="20"/>
      <c r="AZ893" s="20"/>
    </row>
    <row r="894" ht="15.75" customHeight="1">
      <c r="I894" s="77"/>
      <c r="AS894" s="20"/>
      <c r="AT894" s="20"/>
      <c r="AU894" s="20"/>
      <c r="AV894" s="20"/>
      <c r="AW894" s="20"/>
      <c r="AX894" s="20"/>
      <c r="AY894" s="20"/>
      <c r="AZ894" s="20"/>
    </row>
    <row r="895" ht="15.75" customHeight="1">
      <c r="I895" s="77"/>
      <c r="AS895" s="20"/>
      <c r="AT895" s="20"/>
      <c r="AU895" s="20"/>
      <c r="AV895" s="20"/>
      <c r="AW895" s="20"/>
      <c r="AX895" s="20"/>
      <c r="AY895" s="20"/>
      <c r="AZ895" s="20"/>
    </row>
    <row r="896" ht="15.75" customHeight="1">
      <c r="I896" s="77"/>
      <c r="AS896" s="20"/>
      <c r="AT896" s="20"/>
      <c r="AU896" s="20"/>
      <c r="AV896" s="20"/>
      <c r="AW896" s="20"/>
      <c r="AX896" s="20"/>
      <c r="AY896" s="20"/>
      <c r="AZ896" s="20"/>
    </row>
    <row r="897" ht="15.75" customHeight="1">
      <c r="I897" s="77"/>
      <c r="AS897" s="20"/>
      <c r="AT897" s="20"/>
      <c r="AU897" s="20"/>
      <c r="AV897" s="20"/>
      <c r="AW897" s="20"/>
      <c r="AX897" s="20"/>
      <c r="AY897" s="20"/>
      <c r="AZ897" s="20"/>
    </row>
    <row r="898" ht="15.75" customHeight="1">
      <c r="I898" s="77"/>
      <c r="AS898" s="20"/>
      <c r="AT898" s="20"/>
      <c r="AU898" s="20"/>
      <c r="AV898" s="20"/>
      <c r="AW898" s="20"/>
      <c r="AX898" s="20"/>
      <c r="AY898" s="20"/>
      <c r="AZ898" s="20"/>
    </row>
    <row r="899" ht="15.75" customHeight="1">
      <c r="I899" s="77"/>
      <c r="AS899" s="20"/>
      <c r="AT899" s="20"/>
      <c r="AU899" s="20"/>
      <c r="AV899" s="20"/>
      <c r="AW899" s="20"/>
      <c r="AX899" s="20"/>
      <c r="AY899" s="20"/>
      <c r="AZ899" s="20"/>
    </row>
    <row r="900" ht="15.75" customHeight="1">
      <c r="I900" s="77"/>
      <c r="AS900" s="20"/>
      <c r="AT900" s="20"/>
      <c r="AU900" s="20"/>
      <c r="AV900" s="20"/>
      <c r="AW900" s="20"/>
      <c r="AX900" s="20"/>
      <c r="AY900" s="20"/>
      <c r="AZ900" s="20"/>
    </row>
    <row r="901" ht="15.75" customHeight="1">
      <c r="I901" s="77"/>
      <c r="AS901" s="20"/>
      <c r="AT901" s="20"/>
      <c r="AU901" s="20"/>
      <c r="AV901" s="20"/>
      <c r="AW901" s="20"/>
      <c r="AX901" s="20"/>
      <c r="AY901" s="20"/>
      <c r="AZ901" s="20"/>
    </row>
    <row r="902" ht="15.75" customHeight="1">
      <c r="I902" s="77"/>
      <c r="AS902" s="20"/>
      <c r="AT902" s="20"/>
      <c r="AU902" s="20"/>
      <c r="AV902" s="20"/>
      <c r="AW902" s="20"/>
      <c r="AX902" s="20"/>
      <c r="AY902" s="20"/>
      <c r="AZ902" s="20"/>
    </row>
    <row r="903" ht="15.75" customHeight="1">
      <c r="I903" s="77"/>
      <c r="AS903" s="20"/>
      <c r="AT903" s="20"/>
      <c r="AU903" s="20"/>
      <c r="AV903" s="20"/>
      <c r="AW903" s="20"/>
      <c r="AX903" s="20"/>
      <c r="AY903" s="20"/>
      <c r="AZ903" s="20"/>
    </row>
    <row r="904" ht="15.75" customHeight="1">
      <c r="I904" s="77"/>
      <c r="AS904" s="20"/>
      <c r="AT904" s="20"/>
      <c r="AU904" s="20"/>
      <c r="AV904" s="20"/>
      <c r="AW904" s="20"/>
      <c r="AX904" s="20"/>
      <c r="AY904" s="20"/>
      <c r="AZ904" s="20"/>
    </row>
    <row r="905" ht="15.75" customHeight="1">
      <c r="I905" s="77"/>
      <c r="AS905" s="20"/>
      <c r="AT905" s="20"/>
      <c r="AU905" s="20"/>
      <c r="AV905" s="20"/>
      <c r="AW905" s="20"/>
      <c r="AX905" s="20"/>
      <c r="AY905" s="20"/>
      <c r="AZ905" s="20"/>
    </row>
    <row r="906" ht="15.75" customHeight="1">
      <c r="I906" s="77"/>
      <c r="AS906" s="20"/>
      <c r="AT906" s="20"/>
      <c r="AU906" s="20"/>
      <c r="AV906" s="20"/>
      <c r="AW906" s="20"/>
      <c r="AX906" s="20"/>
      <c r="AY906" s="20"/>
      <c r="AZ906" s="20"/>
    </row>
    <row r="907" ht="15.75" customHeight="1">
      <c r="I907" s="77"/>
      <c r="AS907" s="20"/>
      <c r="AT907" s="20"/>
      <c r="AU907" s="20"/>
      <c r="AV907" s="20"/>
      <c r="AW907" s="20"/>
      <c r="AX907" s="20"/>
      <c r="AY907" s="20"/>
      <c r="AZ907" s="20"/>
    </row>
    <row r="908" ht="15.75" customHeight="1">
      <c r="I908" s="77"/>
      <c r="AS908" s="20"/>
      <c r="AT908" s="20"/>
      <c r="AU908" s="20"/>
      <c r="AV908" s="20"/>
      <c r="AW908" s="20"/>
      <c r="AX908" s="20"/>
      <c r="AY908" s="20"/>
      <c r="AZ908" s="20"/>
    </row>
    <row r="909" ht="15.75" customHeight="1">
      <c r="I909" s="77"/>
      <c r="AS909" s="20"/>
      <c r="AT909" s="20"/>
      <c r="AU909" s="20"/>
      <c r="AV909" s="20"/>
      <c r="AW909" s="20"/>
      <c r="AX909" s="20"/>
      <c r="AY909" s="20"/>
      <c r="AZ909" s="20"/>
    </row>
    <row r="910" ht="15.75" customHeight="1">
      <c r="I910" s="77"/>
      <c r="AS910" s="20"/>
      <c r="AT910" s="20"/>
      <c r="AU910" s="20"/>
      <c r="AV910" s="20"/>
      <c r="AW910" s="20"/>
      <c r="AX910" s="20"/>
      <c r="AY910" s="20"/>
      <c r="AZ910" s="20"/>
    </row>
    <row r="911" ht="15.75" customHeight="1">
      <c r="I911" s="77"/>
      <c r="AS911" s="20"/>
      <c r="AT911" s="20"/>
      <c r="AU911" s="20"/>
      <c r="AV911" s="20"/>
      <c r="AW911" s="20"/>
      <c r="AX911" s="20"/>
      <c r="AY911" s="20"/>
      <c r="AZ911" s="20"/>
    </row>
    <row r="912" ht="15.75" customHeight="1">
      <c r="I912" s="77"/>
      <c r="AS912" s="20"/>
      <c r="AT912" s="20"/>
      <c r="AU912" s="20"/>
      <c r="AV912" s="20"/>
      <c r="AW912" s="20"/>
      <c r="AX912" s="20"/>
      <c r="AY912" s="20"/>
      <c r="AZ912" s="20"/>
    </row>
    <row r="913" ht="15.75" customHeight="1">
      <c r="I913" s="77"/>
      <c r="AS913" s="20"/>
      <c r="AT913" s="20"/>
      <c r="AU913" s="20"/>
      <c r="AV913" s="20"/>
      <c r="AW913" s="20"/>
      <c r="AX913" s="20"/>
      <c r="AY913" s="20"/>
      <c r="AZ913" s="20"/>
    </row>
    <row r="914" ht="15.75" customHeight="1">
      <c r="I914" s="77"/>
      <c r="AS914" s="20"/>
      <c r="AT914" s="20"/>
      <c r="AU914" s="20"/>
      <c r="AV914" s="20"/>
      <c r="AW914" s="20"/>
      <c r="AX914" s="20"/>
      <c r="AY914" s="20"/>
      <c r="AZ914" s="20"/>
    </row>
    <row r="915" ht="15.75" customHeight="1">
      <c r="I915" s="77"/>
      <c r="AS915" s="20"/>
      <c r="AT915" s="20"/>
      <c r="AU915" s="20"/>
      <c r="AV915" s="20"/>
      <c r="AW915" s="20"/>
      <c r="AX915" s="20"/>
      <c r="AY915" s="20"/>
      <c r="AZ915" s="20"/>
    </row>
    <row r="916" ht="15.75" customHeight="1">
      <c r="I916" s="77"/>
      <c r="AS916" s="20"/>
      <c r="AT916" s="20"/>
      <c r="AU916" s="20"/>
      <c r="AV916" s="20"/>
      <c r="AW916" s="20"/>
      <c r="AX916" s="20"/>
      <c r="AY916" s="20"/>
      <c r="AZ916" s="20"/>
    </row>
    <row r="917" ht="15.75" customHeight="1">
      <c r="I917" s="77"/>
      <c r="AS917" s="20"/>
      <c r="AT917" s="20"/>
      <c r="AU917" s="20"/>
      <c r="AV917" s="20"/>
      <c r="AW917" s="20"/>
      <c r="AX917" s="20"/>
      <c r="AY917" s="20"/>
      <c r="AZ917" s="20"/>
    </row>
    <row r="918" ht="15.75" customHeight="1">
      <c r="I918" s="77"/>
      <c r="AS918" s="20"/>
      <c r="AT918" s="20"/>
      <c r="AU918" s="20"/>
      <c r="AV918" s="20"/>
      <c r="AW918" s="20"/>
      <c r="AX918" s="20"/>
      <c r="AY918" s="20"/>
      <c r="AZ918" s="20"/>
    </row>
    <row r="919" ht="15.75" customHeight="1">
      <c r="I919" s="77"/>
      <c r="AS919" s="20"/>
      <c r="AT919" s="20"/>
      <c r="AU919" s="20"/>
      <c r="AV919" s="20"/>
      <c r="AW919" s="20"/>
      <c r="AX919" s="20"/>
      <c r="AY919" s="20"/>
      <c r="AZ919" s="20"/>
    </row>
    <row r="920" ht="15.75" customHeight="1">
      <c r="I920" s="77"/>
      <c r="AS920" s="20"/>
      <c r="AT920" s="20"/>
      <c r="AU920" s="20"/>
      <c r="AV920" s="20"/>
      <c r="AW920" s="20"/>
      <c r="AX920" s="20"/>
      <c r="AY920" s="20"/>
      <c r="AZ920" s="20"/>
    </row>
    <row r="921" ht="15.75" customHeight="1">
      <c r="I921" s="77"/>
      <c r="AS921" s="20"/>
      <c r="AT921" s="20"/>
      <c r="AU921" s="20"/>
      <c r="AV921" s="20"/>
      <c r="AW921" s="20"/>
      <c r="AX921" s="20"/>
      <c r="AY921" s="20"/>
      <c r="AZ921" s="20"/>
    </row>
    <row r="922" ht="15.75" customHeight="1">
      <c r="I922" s="77"/>
      <c r="AS922" s="20"/>
      <c r="AT922" s="20"/>
      <c r="AU922" s="20"/>
      <c r="AV922" s="20"/>
      <c r="AW922" s="20"/>
      <c r="AX922" s="20"/>
      <c r="AY922" s="20"/>
      <c r="AZ922" s="20"/>
    </row>
    <row r="923" ht="15.75" customHeight="1">
      <c r="I923" s="77"/>
      <c r="AS923" s="20"/>
      <c r="AT923" s="20"/>
      <c r="AU923" s="20"/>
      <c r="AV923" s="20"/>
      <c r="AW923" s="20"/>
      <c r="AX923" s="20"/>
      <c r="AY923" s="20"/>
      <c r="AZ923" s="20"/>
    </row>
    <row r="924" ht="15.75" customHeight="1">
      <c r="I924" s="77"/>
      <c r="AS924" s="20"/>
      <c r="AT924" s="20"/>
      <c r="AU924" s="20"/>
      <c r="AV924" s="20"/>
      <c r="AW924" s="20"/>
      <c r="AX924" s="20"/>
      <c r="AY924" s="20"/>
      <c r="AZ924" s="20"/>
    </row>
    <row r="925" ht="15.75" customHeight="1">
      <c r="I925" s="77"/>
      <c r="AS925" s="20"/>
      <c r="AT925" s="20"/>
      <c r="AU925" s="20"/>
      <c r="AV925" s="20"/>
      <c r="AW925" s="20"/>
      <c r="AX925" s="20"/>
      <c r="AY925" s="20"/>
      <c r="AZ925" s="20"/>
    </row>
    <row r="926" ht="15.75" customHeight="1">
      <c r="I926" s="77"/>
      <c r="AS926" s="20"/>
      <c r="AT926" s="20"/>
      <c r="AU926" s="20"/>
      <c r="AV926" s="20"/>
      <c r="AW926" s="20"/>
      <c r="AX926" s="20"/>
      <c r="AY926" s="20"/>
      <c r="AZ926" s="20"/>
    </row>
    <row r="927" ht="15.75" customHeight="1">
      <c r="I927" s="77"/>
      <c r="AS927" s="20"/>
      <c r="AT927" s="20"/>
      <c r="AU927" s="20"/>
      <c r="AV927" s="20"/>
      <c r="AW927" s="20"/>
      <c r="AX927" s="20"/>
      <c r="AY927" s="20"/>
      <c r="AZ927" s="20"/>
    </row>
    <row r="928" ht="15.75" customHeight="1">
      <c r="I928" s="77"/>
      <c r="AS928" s="20"/>
      <c r="AT928" s="20"/>
      <c r="AU928" s="20"/>
      <c r="AV928" s="20"/>
      <c r="AW928" s="20"/>
      <c r="AX928" s="20"/>
      <c r="AY928" s="20"/>
      <c r="AZ928" s="20"/>
    </row>
    <row r="929" ht="15.75" customHeight="1">
      <c r="I929" s="77"/>
      <c r="AS929" s="20"/>
      <c r="AT929" s="20"/>
      <c r="AU929" s="20"/>
      <c r="AV929" s="20"/>
      <c r="AW929" s="20"/>
      <c r="AX929" s="20"/>
      <c r="AY929" s="20"/>
      <c r="AZ929" s="20"/>
    </row>
    <row r="930" ht="15.75" customHeight="1">
      <c r="I930" s="77"/>
      <c r="AS930" s="20"/>
      <c r="AT930" s="20"/>
      <c r="AU930" s="20"/>
      <c r="AV930" s="20"/>
      <c r="AW930" s="20"/>
      <c r="AX930" s="20"/>
      <c r="AY930" s="20"/>
      <c r="AZ930" s="20"/>
    </row>
    <row r="931" ht="15.75" customHeight="1">
      <c r="I931" s="77"/>
      <c r="AS931" s="20"/>
      <c r="AT931" s="20"/>
      <c r="AU931" s="20"/>
      <c r="AV931" s="20"/>
      <c r="AW931" s="20"/>
      <c r="AX931" s="20"/>
      <c r="AY931" s="20"/>
      <c r="AZ931" s="20"/>
    </row>
    <row r="932" ht="15.75" customHeight="1">
      <c r="I932" s="77"/>
      <c r="AS932" s="20"/>
      <c r="AT932" s="20"/>
      <c r="AU932" s="20"/>
      <c r="AV932" s="20"/>
      <c r="AW932" s="20"/>
      <c r="AX932" s="20"/>
      <c r="AY932" s="20"/>
      <c r="AZ932" s="20"/>
    </row>
    <row r="933" ht="15.75" customHeight="1">
      <c r="I933" s="77"/>
      <c r="AS933" s="20"/>
      <c r="AT933" s="20"/>
      <c r="AU933" s="20"/>
      <c r="AV933" s="20"/>
      <c r="AW933" s="20"/>
      <c r="AX933" s="20"/>
      <c r="AY933" s="20"/>
      <c r="AZ933" s="20"/>
    </row>
    <row r="934" ht="15.75" customHeight="1">
      <c r="I934" s="77"/>
      <c r="AS934" s="20"/>
      <c r="AT934" s="20"/>
      <c r="AU934" s="20"/>
      <c r="AV934" s="20"/>
      <c r="AW934" s="20"/>
      <c r="AX934" s="20"/>
      <c r="AY934" s="20"/>
      <c r="AZ934" s="20"/>
    </row>
    <row r="935" ht="15.75" customHeight="1">
      <c r="I935" s="77"/>
      <c r="AS935" s="20"/>
      <c r="AT935" s="20"/>
      <c r="AU935" s="20"/>
      <c r="AV935" s="20"/>
      <c r="AW935" s="20"/>
      <c r="AX935" s="20"/>
      <c r="AY935" s="20"/>
      <c r="AZ935" s="20"/>
    </row>
    <row r="936" ht="15.75" customHeight="1">
      <c r="I936" s="77"/>
      <c r="AS936" s="20"/>
      <c r="AT936" s="20"/>
      <c r="AU936" s="20"/>
      <c r="AV936" s="20"/>
      <c r="AW936" s="20"/>
      <c r="AX936" s="20"/>
      <c r="AY936" s="20"/>
      <c r="AZ936" s="20"/>
    </row>
    <row r="937" ht="15.75" customHeight="1">
      <c r="I937" s="77"/>
      <c r="AS937" s="20"/>
      <c r="AT937" s="20"/>
      <c r="AU937" s="20"/>
      <c r="AV937" s="20"/>
      <c r="AW937" s="20"/>
      <c r="AX937" s="20"/>
      <c r="AY937" s="20"/>
      <c r="AZ937" s="20"/>
    </row>
    <row r="938" ht="15.75" customHeight="1">
      <c r="I938" s="77"/>
      <c r="AS938" s="20"/>
      <c r="AT938" s="20"/>
      <c r="AU938" s="20"/>
      <c r="AV938" s="20"/>
      <c r="AW938" s="20"/>
      <c r="AX938" s="20"/>
      <c r="AY938" s="20"/>
      <c r="AZ938" s="20"/>
    </row>
    <row r="939" ht="15.75" customHeight="1">
      <c r="I939" s="77"/>
      <c r="AS939" s="20"/>
      <c r="AT939" s="20"/>
      <c r="AU939" s="20"/>
      <c r="AV939" s="20"/>
      <c r="AW939" s="20"/>
      <c r="AX939" s="20"/>
      <c r="AY939" s="20"/>
      <c r="AZ939" s="20"/>
    </row>
    <row r="940" ht="15.75" customHeight="1">
      <c r="I940" s="77"/>
      <c r="AS940" s="20"/>
      <c r="AT940" s="20"/>
      <c r="AU940" s="20"/>
      <c r="AV940" s="20"/>
      <c r="AW940" s="20"/>
      <c r="AX940" s="20"/>
      <c r="AY940" s="20"/>
      <c r="AZ940" s="20"/>
    </row>
    <row r="941" ht="15.75" customHeight="1">
      <c r="I941" s="77"/>
      <c r="AS941" s="20"/>
      <c r="AT941" s="20"/>
      <c r="AU941" s="20"/>
      <c r="AV941" s="20"/>
      <c r="AW941" s="20"/>
      <c r="AX941" s="20"/>
      <c r="AY941" s="20"/>
      <c r="AZ941" s="20"/>
    </row>
    <row r="942" ht="15.75" customHeight="1">
      <c r="I942" s="77"/>
      <c r="AS942" s="20"/>
      <c r="AT942" s="20"/>
      <c r="AU942" s="20"/>
      <c r="AV942" s="20"/>
      <c r="AW942" s="20"/>
      <c r="AX942" s="20"/>
      <c r="AY942" s="20"/>
      <c r="AZ942" s="20"/>
    </row>
    <row r="943" ht="15.75" customHeight="1">
      <c r="I943" s="77"/>
      <c r="AS943" s="20"/>
      <c r="AT943" s="20"/>
      <c r="AU943" s="20"/>
      <c r="AV943" s="20"/>
      <c r="AW943" s="20"/>
      <c r="AX943" s="20"/>
      <c r="AY943" s="20"/>
      <c r="AZ943" s="20"/>
    </row>
    <row r="944" ht="15.75" customHeight="1">
      <c r="I944" s="77"/>
      <c r="AS944" s="20"/>
      <c r="AT944" s="20"/>
      <c r="AU944" s="20"/>
      <c r="AV944" s="20"/>
      <c r="AW944" s="20"/>
      <c r="AX944" s="20"/>
      <c r="AY944" s="20"/>
      <c r="AZ944" s="20"/>
    </row>
    <row r="945" ht="15.75" customHeight="1">
      <c r="I945" s="77"/>
      <c r="AS945" s="20"/>
      <c r="AT945" s="20"/>
      <c r="AU945" s="20"/>
      <c r="AV945" s="20"/>
      <c r="AW945" s="20"/>
      <c r="AX945" s="20"/>
      <c r="AY945" s="20"/>
      <c r="AZ945" s="20"/>
    </row>
    <row r="946" ht="15.75" customHeight="1">
      <c r="I946" s="77"/>
      <c r="AS946" s="20"/>
      <c r="AT946" s="20"/>
      <c r="AU946" s="20"/>
      <c r="AV946" s="20"/>
      <c r="AW946" s="20"/>
      <c r="AX946" s="20"/>
      <c r="AY946" s="20"/>
      <c r="AZ946" s="20"/>
    </row>
    <row r="947" ht="15.75" customHeight="1">
      <c r="I947" s="77"/>
      <c r="AS947" s="20"/>
      <c r="AT947" s="20"/>
      <c r="AU947" s="20"/>
      <c r="AV947" s="20"/>
      <c r="AW947" s="20"/>
      <c r="AX947" s="20"/>
      <c r="AY947" s="20"/>
      <c r="AZ947" s="20"/>
    </row>
    <row r="948" ht="15.75" customHeight="1">
      <c r="I948" s="77"/>
      <c r="AS948" s="20"/>
      <c r="AT948" s="20"/>
      <c r="AU948" s="20"/>
      <c r="AV948" s="20"/>
      <c r="AW948" s="20"/>
      <c r="AX948" s="20"/>
      <c r="AY948" s="20"/>
      <c r="AZ948" s="20"/>
    </row>
    <row r="949" ht="15.75" customHeight="1">
      <c r="I949" s="77"/>
      <c r="AS949" s="20"/>
      <c r="AT949" s="20"/>
      <c r="AU949" s="20"/>
      <c r="AV949" s="20"/>
      <c r="AW949" s="20"/>
      <c r="AX949" s="20"/>
      <c r="AY949" s="20"/>
      <c r="AZ949" s="20"/>
    </row>
    <row r="950" ht="15.75" customHeight="1">
      <c r="I950" s="77"/>
      <c r="AS950" s="20"/>
      <c r="AT950" s="20"/>
      <c r="AU950" s="20"/>
      <c r="AV950" s="20"/>
      <c r="AW950" s="20"/>
      <c r="AX950" s="20"/>
      <c r="AY950" s="20"/>
      <c r="AZ950" s="20"/>
    </row>
    <row r="951" ht="15.75" customHeight="1">
      <c r="I951" s="77"/>
      <c r="AS951" s="20"/>
      <c r="AT951" s="20"/>
      <c r="AU951" s="20"/>
      <c r="AV951" s="20"/>
      <c r="AW951" s="20"/>
      <c r="AX951" s="20"/>
      <c r="AY951" s="20"/>
      <c r="AZ951" s="20"/>
    </row>
    <row r="952" ht="15.75" customHeight="1">
      <c r="I952" s="77"/>
      <c r="AS952" s="20"/>
      <c r="AT952" s="20"/>
      <c r="AU952" s="20"/>
      <c r="AV952" s="20"/>
      <c r="AW952" s="20"/>
      <c r="AX952" s="20"/>
      <c r="AY952" s="20"/>
      <c r="AZ952" s="20"/>
    </row>
    <row r="953" ht="15.75" customHeight="1">
      <c r="I953" s="77"/>
      <c r="AS953" s="20"/>
      <c r="AT953" s="20"/>
      <c r="AU953" s="20"/>
      <c r="AV953" s="20"/>
      <c r="AW953" s="20"/>
      <c r="AX953" s="20"/>
      <c r="AY953" s="20"/>
      <c r="AZ953" s="20"/>
    </row>
    <row r="954" ht="15.75" customHeight="1">
      <c r="I954" s="77"/>
      <c r="AS954" s="20"/>
      <c r="AT954" s="20"/>
      <c r="AU954" s="20"/>
      <c r="AV954" s="20"/>
      <c r="AW954" s="20"/>
      <c r="AX954" s="20"/>
      <c r="AY954" s="20"/>
      <c r="AZ954" s="20"/>
    </row>
    <row r="955" ht="15.75" customHeight="1">
      <c r="I955" s="77"/>
      <c r="AS955" s="20"/>
      <c r="AT955" s="20"/>
      <c r="AU955" s="20"/>
      <c r="AV955" s="20"/>
      <c r="AW955" s="20"/>
      <c r="AX955" s="20"/>
      <c r="AY955" s="20"/>
      <c r="AZ955" s="20"/>
    </row>
    <row r="956" ht="15.75" customHeight="1">
      <c r="I956" s="77"/>
      <c r="AS956" s="20"/>
      <c r="AT956" s="20"/>
      <c r="AU956" s="20"/>
      <c r="AV956" s="20"/>
      <c r="AW956" s="20"/>
      <c r="AX956" s="20"/>
      <c r="AY956" s="20"/>
      <c r="AZ956" s="20"/>
    </row>
    <row r="957" ht="15.75" customHeight="1">
      <c r="I957" s="77"/>
      <c r="AS957" s="20"/>
      <c r="AT957" s="20"/>
      <c r="AU957" s="20"/>
      <c r="AV957" s="20"/>
      <c r="AW957" s="20"/>
      <c r="AX957" s="20"/>
      <c r="AY957" s="20"/>
      <c r="AZ957" s="20"/>
    </row>
    <row r="958" ht="15.75" customHeight="1">
      <c r="I958" s="77"/>
      <c r="AS958" s="20"/>
      <c r="AT958" s="20"/>
      <c r="AU958" s="20"/>
      <c r="AV958" s="20"/>
      <c r="AW958" s="20"/>
      <c r="AX958" s="20"/>
      <c r="AY958" s="20"/>
      <c r="AZ958" s="20"/>
    </row>
    <row r="959" ht="15.75" customHeight="1">
      <c r="I959" s="77"/>
      <c r="AS959" s="20"/>
      <c r="AT959" s="20"/>
      <c r="AU959" s="20"/>
      <c r="AV959" s="20"/>
      <c r="AW959" s="20"/>
      <c r="AX959" s="20"/>
      <c r="AY959" s="20"/>
      <c r="AZ959" s="20"/>
    </row>
    <row r="960" ht="15.75" customHeight="1">
      <c r="I960" s="77"/>
      <c r="AS960" s="20"/>
      <c r="AT960" s="20"/>
      <c r="AU960" s="20"/>
      <c r="AV960" s="20"/>
      <c r="AW960" s="20"/>
      <c r="AX960" s="20"/>
      <c r="AY960" s="20"/>
      <c r="AZ960" s="20"/>
    </row>
    <row r="961" ht="15.75" customHeight="1">
      <c r="I961" s="77"/>
      <c r="AS961" s="20"/>
      <c r="AT961" s="20"/>
      <c r="AU961" s="20"/>
      <c r="AV961" s="20"/>
      <c r="AW961" s="20"/>
      <c r="AX961" s="20"/>
      <c r="AY961" s="20"/>
      <c r="AZ961" s="20"/>
    </row>
    <row r="962" ht="15.75" customHeight="1">
      <c r="I962" s="77"/>
      <c r="AS962" s="20"/>
      <c r="AT962" s="20"/>
      <c r="AU962" s="20"/>
      <c r="AV962" s="20"/>
      <c r="AW962" s="20"/>
      <c r="AX962" s="20"/>
      <c r="AY962" s="20"/>
      <c r="AZ962" s="20"/>
    </row>
    <row r="963" ht="15.75" customHeight="1">
      <c r="I963" s="77"/>
      <c r="AS963" s="20"/>
      <c r="AT963" s="20"/>
      <c r="AU963" s="20"/>
      <c r="AV963" s="20"/>
      <c r="AW963" s="20"/>
      <c r="AX963" s="20"/>
      <c r="AY963" s="20"/>
      <c r="AZ963" s="20"/>
    </row>
    <row r="964" ht="15.75" customHeight="1">
      <c r="I964" s="77"/>
      <c r="AS964" s="20"/>
      <c r="AT964" s="20"/>
      <c r="AU964" s="20"/>
      <c r="AV964" s="20"/>
      <c r="AW964" s="20"/>
      <c r="AX964" s="20"/>
      <c r="AY964" s="20"/>
      <c r="AZ964" s="20"/>
    </row>
    <row r="965" ht="15.75" customHeight="1">
      <c r="I965" s="77"/>
      <c r="AS965" s="20"/>
      <c r="AT965" s="20"/>
      <c r="AU965" s="20"/>
      <c r="AV965" s="20"/>
      <c r="AW965" s="20"/>
      <c r="AX965" s="20"/>
      <c r="AY965" s="20"/>
      <c r="AZ965" s="20"/>
    </row>
    <row r="966" ht="15.75" customHeight="1">
      <c r="I966" s="77"/>
      <c r="AS966" s="20"/>
      <c r="AT966" s="20"/>
      <c r="AU966" s="20"/>
      <c r="AV966" s="20"/>
      <c r="AW966" s="20"/>
      <c r="AX966" s="20"/>
      <c r="AY966" s="20"/>
      <c r="AZ966" s="20"/>
    </row>
    <row r="967" ht="15.75" customHeight="1">
      <c r="I967" s="77"/>
      <c r="AS967" s="20"/>
      <c r="AT967" s="20"/>
      <c r="AU967" s="20"/>
      <c r="AV967" s="20"/>
      <c r="AW967" s="20"/>
      <c r="AX967" s="20"/>
      <c r="AY967" s="20"/>
      <c r="AZ967" s="20"/>
    </row>
    <row r="968" ht="15.75" customHeight="1">
      <c r="I968" s="77"/>
      <c r="AS968" s="20"/>
      <c r="AT968" s="20"/>
      <c r="AU968" s="20"/>
      <c r="AV968" s="20"/>
      <c r="AW968" s="20"/>
      <c r="AX968" s="20"/>
      <c r="AY968" s="20"/>
      <c r="AZ968" s="20"/>
    </row>
    <row r="969" ht="15.75" customHeight="1">
      <c r="I969" s="77"/>
      <c r="AS969" s="20"/>
      <c r="AT969" s="20"/>
      <c r="AU969" s="20"/>
      <c r="AV969" s="20"/>
      <c r="AW969" s="20"/>
      <c r="AX969" s="20"/>
      <c r="AY969" s="20"/>
      <c r="AZ969" s="20"/>
    </row>
    <row r="970" ht="15.75" customHeight="1">
      <c r="I970" s="77"/>
      <c r="AS970" s="20"/>
      <c r="AT970" s="20"/>
      <c r="AU970" s="20"/>
      <c r="AV970" s="20"/>
      <c r="AW970" s="20"/>
      <c r="AX970" s="20"/>
      <c r="AY970" s="20"/>
      <c r="AZ970" s="20"/>
    </row>
    <row r="971" ht="15.75" customHeight="1">
      <c r="I971" s="77"/>
      <c r="AS971" s="20"/>
      <c r="AT971" s="20"/>
      <c r="AU971" s="20"/>
      <c r="AV971" s="20"/>
      <c r="AW971" s="20"/>
      <c r="AX971" s="20"/>
      <c r="AY971" s="20"/>
      <c r="AZ971" s="20"/>
    </row>
    <row r="972" ht="15.75" customHeight="1">
      <c r="I972" s="77"/>
      <c r="AS972" s="20"/>
      <c r="AT972" s="20"/>
      <c r="AU972" s="20"/>
      <c r="AV972" s="20"/>
      <c r="AW972" s="20"/>
      <c r="AX972" s="20"/>
      <c r="AY972" s="20"/>
      <c r="AZ972" s="20"/>
    </row>
    <row r="973" ht="15.75" customHeight="1">
      <c r="I973" s="77"/>
      <c r="AS973" s="20"/>
      <c r="AT973" s="20"/>
      <c r="AU973" s="20"/>
      <c r="AV973" s="20"/>
      <c r="AW973" s="20"/>
      <c r="AX973" s="20"/>
      <c r="AY973" s="20"/>
      <c r="AZ973" s="20"/>
    </row>
    <row r="974" ht="15.75" customHeight="1">
      <c r="I974" s="77"/>
      <c r="AS974" s="20"/>
      <c r="AT974" s="20"/>
      <c r="AU974" s="20"/>
      <c r="AV974" s="20"/>
      <c r="AW974" s="20"/>
      <c r="AX974" s="20"/>
      <c r="AY974" s="20"/>
      <c r="AZ974" s="20"/>
    </row>
    <row r="975" ht="15.75" customHeight="1">
      <c r="I975" s="77"/>
      <c r="AS975" s="20"/>
      <c r="AT975" s="20"/>
      <c r="AU975" s="20"/>
      <c r="AV975" s="20"/>
      <c r="AW975" s="20"/>
      <c r="AX975" s="20"/>
      <c r="AY975" s="20"/>
      <c r="AZ975" s="20"/>
    </row>
    <row r="976" ht="15.75" customHeight="1">
      <c r="I976" s="77"/>
      <c r="AS976" s="20"/>
      <c r="AT976" s="20"/>
      <c r="AU976" s="20"/>
      <c r="AV976" s="20"/>
      <c r="AW976" s="20"/>
      <c r="AX976" s="20"/>
      <c r="AY976" s="20"/>
      <c r="AZ976" s="20"/>
    </row>
    <row r="977" ht="15.75" customHeight="1">
      <c r="I977" s="77"/>
      <c r="AS977" s="20"/>
      <c r="AT977" s="20"/>
      <c r="AU977" s="20"/>
      <c r="AV977" s="20"/>
      <c r="AW977" s="20"/>
      <c r="AX977" s="20"/>
      <c r="AY977" s="20"/>
      <c r="AZ977" s="20"/>
    </row>
    <row r="978" ht="15.75" customHeight="1">
      <c r="I978" s="77"/>
      <c r="AS978" s="20"/>
      <c r="AT978" s="20"/>
      <c r="AU978" s="20"/>
      <c r="AV978" s="20"/>
      <c r="AW978" s="20"/>
      <c r="AX978" s="20"/>
      <c r="AY978" s="20"/>
      <c r="AZ978" s="20"/>
    </row>
    <row r="979" ht="15.75" customHeight="1">
      <c r="I979" s="77"/>
      <c r="AS979" s="20"/>
      <c r="AT979" s="20"/>
      <c r="AU979" s="20"/>
      <c r="AV979" s="20"/>
      <c r="AW979" s="20"/>
      <c r="AX979" s="20"/>
      <c r="AY979" s="20"/>
      <c r="AZ979" s="20"/>
    </row>
    <row r="980" ht="15.75" customHeight="1">
      <c r="I980" s="77"/>
      <c r="AS980" s="20"/>
      <c r="AT980" s="20"/>
      <c r="AU980" s="20"/>
      <c r="AV980" s="20"/>
      <c r="AW980" s="20"/>
      <c r="AX980" s="20"/>
      <c r="AY980" s="20"/>
      <c r="AZ980" s="20"/>
    </row>
    <row r="981" ht="15.75" customHeight="1">
      <c r="I981" s="77"/>
      <c r="AS981" s="20"/>
      <c r="AT981" s="20"/>
      <c r="AU981" s="20"/>
      <c r="AV981" s="20"/>
      <c r="AW981" s="20"/>
      <c r="AX981" s="20"/>
      <c r="AY981" s="20"/>
      <c r="AZ981" s="20"/>
    </row>
    <row r="982" ht="15.75" customHeight="1">
      <c r="I982" s="77"/>
      <c r="AS982" s="20"/>
      <c r="AT982" s="20"/>
      <c r="AU982" s="20"/>
      <c r="AV982" s="20"/>
      <c r="AW982" s="20"/>
      <c r="AX982" s="20"/>
      <c r="AY982" s="20"/>
      <c r="AZ982" s="20"/>
    </row>
    <row r="983" ht="15.75" customHeight="1">
      <c r="I983" s="77"/>
      <c r="AS983" s="20"/>
      <c r="AT983" s="20"/>
      <c r="AU983" s="20"/>
      <c r="AV983" s="20"/>
      <c r="AW983" s="20"/>
      <c r="AX983" s="20"/>
      <c r="AY983" s="20"/>
      <c r="AZ983" s="20"/>
    </row>
    <row r="984" ht="15.75" customHeight="1">
      <c r="I984" s="77"/>
      <c r="AS984" s="20"/>
      <c r="AT984" s="20"/>
      <c r="AU984" s="20"/>
      <c r="AV984" s="20"/>
      <c r="AW984" s="20"/>
      <c r="AX984" s="20"/>
      <c r="AY984" s="20"/>
      <c r="AZ984" s="20"/>
    </row>
    <row r="985" ht="15.75" customHeight="1">
      <c r="I985" s="77"/>
      <c r="AS985" s="20"/>
      <c r="AT985" s="20"/>
      <c r="AU985" s="20"/>
      <c r="AV985" s="20"/>
      <c r="AW985" s="20"/>
      <c r="AX985" s="20"/>
      <c r="AY985" s="20"/>
      <c r="AZ985" s="20"/>
    </row>
    <row r="986" ht="15.75" customHeight="1">
      <c r="I986" s="77"/>
      <c r="AS986" s="20"/>
      <c r="AT986" s="20"/>
      <c r="AU986" s="20"/>
      <c r="AV986" s="20"/>
      <c r="AW986" s="20"/>
      <c r="AX986" s="20"/>
      <c r="AY986" s="20"/>
      <c r="AZ986" s="20"/>
    </row>
    <row r="987" ht="15.75" customHeight="1">
      <c r="I987" s="77"/>
      <c r="AS987" s="20"/>
      <c r="AT987" s="20"/>
      <c r="AU987" s="20"/>
      <c r="AV987" s="20"/>
      <c r="AW987" s="20"/>
      <c r="AX987" s="20"/>
      <c r="AY987" s="20"/>
      <c r="AZ987" s="20"/>
    </row>
    <row r="988" ht="15.75" customHeight="1">
      <c r="I988" s="77"/>
      <c r="AS988" s="20"/>
      <c r="AT988" s="20"/>
      <c r="AU988" s="20"/>
      <c r="AV988" s="20"/>
      <c r="AW988" s="20"/>
      <c r="AX988" s="20"/>
      <c r="AY988" s="20"/>
      <c r="AZ988" s="20"/>
    </row>
    <row r="989" ht="15.75" customHeight="1">
      <c r="I989" s="77"/>
      <c r="AS989" s="20"/>
      <c r="AT989" s="20"/>
      <c r="AU989" s="20"/>
      <c r="AV989" s="20"/>
      <c r="AW989" s="20"/>
      <c r="AX989" s="20"/>
      <c r="AY989" s="20"/>
      <c r="AZ989" s="20"/>
    </row>
    <row r="990" ht="15.75" customHeight="1">
      <c r="I990" s="77"/>
      <c r="AS990" s="20"/>
      <c r="AT990" s="20"/>
      <c r="AU990" s="20"/>
      <c r="AV990" s="20"/>
      <c r="AW990" s="20"/>
      <c r="AX990" s="20"/>
      <c r="AY990" s="20"/>
      <c r="AZ990" s="20"/>
    </row>
    <row r="991" ht="15.75" customHeight="1">
      <c r="I991" s="77"/>
      <c r="AS991" s="20"/>
      <c r="AT991" s="20"/>
      <c r="AU991" s="20"/>
      <c r="AV991" s="20"/>
      <c r="AW991" s="20"/>
      <c r="AX991" s="20"/>
      <c r="AY991" s="20"/>
      <c r="AZ991" s="20"/>
    </row>
    <row r="992" ht="15.75" customHeight="1">
      <c r="I992" s="77"/>
      <c r="AS992" s="20"/>
      <c r="AT992" s="20"/>
      <c r="AU992" s="20"/>
      <c r="AV992" s="20"/>
      <c r="AW992" s="20"/>
      <c r="AX992" s="20"/>
      <c r="AY992" s="20"/>
      <c r="AZ992" s="20"/>
    </row>
    <row r="993" ht="15.75" customHeight="1">
      <c r="I993" s="77"/>
      <c r="AS993" s="20"/>
      <c r="AT993" s="20"/>
      <c r="AU993" s="20"/>
      <c r="AV993" s="20"/>
      <c r="AW993" s="20"/>
      <c r="AX993" s="20"/>
      <c r="AY993" s="20"/>
      <c r="AZ993" s="20"/>
    </row>
    <row r="994">
      <c r="I994" s="77"/>
      <c r="AS994" s="20"/>
      <c r="AT994" s="20"/>
      <c r="AU994" s="20"/>
      <c r="AV994" s="20"/>
      <c r="AW994" s="20"/>
      <c r="AX994" s="20"/>
      <c r="AY994" s="20"/>
      <c r="AZ994" s="20"/>
    </row>
    <row r="995">
      <c r="I995" s="77"/>
      <c r="AS995" s="20"/>
      <c r="AT995" s="20"/>
      <c r="AU995" s="20"/>
      <c r="AV995" s="20"/>
      <c r="AW995" s="20"/>
      <c r="AX995" s="20"/>
      <c r="AY995" s="20"/>
      <c r="AZ995" s="20"/>
    </row>
    <row r="996">
      <c r="I996" s="77"/>
      <c r="AS996" s="20"/>
      <c r="AT996" s="20"/>
      <c r="AU996" s="20"/>
      <c r="AV996" s="20"/>
      <c r="AW996" s="20"/>
      <c r="AX996" s="20"/>
      <c r="AY996" s="20"/>
      <c r="AZ996" s="20"/>
    </row>
    <row r="997">
      <c r="I997" s="77"/>
      <c r="AS997" s="20"/>
      <c r="AT997" s="20"/>
      <c r="AU997" s="20"/>
      <c r="AV997" s="20"/>
      <c r="AW997" s="20"/>
      <c r="AX997" s="20"/>
      <c r="AY997" s="20"/>
      <c r="AZ997" s="20"/>
    </row>
    <row r="998">
      <c r="I998" s="77"/>
      <c r="AS998" s="20"/>
      <c r="AT998" s="20"/>
      <c r="AU998" s="20"/>
      <c r="AV998" s="20"/>
      <c r="AW998" s="20"/>
      <c r="AX998" s="20"/>
      <c r="AY998" s="20"/>
      <c r="AZ998" s="20"/>
    </row>
    <row r="999">
      <c r="I999" s="77"/>
      <c r="AS999" s="20"/>
      <c r="AT999" s="20"/>
      <c r="AU999" s="20"/>
      <c r="AV999" s="20"/>
      <c r="AW999" s="20"/>
      <c r="AX999" s="20"/>
      <c r="AY999" s="20"/>
      <c r="AZ999" s="20"/>
    </row>
    <row r="1000">
      <c r="I1000" s="77"/>
      <c r="AS1000" s="20"/>
      <c r="AT1000" s="20"/>
      <c r="AU1000" s="20"/>
      <c r="AV1000" s="20"/>
      <c r="AW1000" s="20"/>
      <c r="AX1000" s="20"/>
      <c r="AY1000" s="20"/>
      <c r="AZ1000" s="20"/>
    </row>
  </sheetData>
  <mergeCells count="97">
    <mergeCell ref="A2:AP2"/>
    <mergeCell ref="A3:AP3"/>
    <mergeCell ref="A4:AP4"/>
    <mergeCell ref="A5:AP5"/>
    <mergeCell ref="A6:F6"/>
    <mergeCell ref="G6:AE6"/>
    <mergeCell ref="AF6:AP6"/>
    <mergeCell ref="A7:F7"/>
    <mergeCell ref="G7:AE7"/>
    <mergeCell ref="AF7:AP7"/>
    <mergeCell ref="A8:E8"/>
    <mergeCell ref="F8:P8"/>
    <mergeCell ref="Q8:AE8"/>
    <mergeCell ref="AF8:AP8"/>
    <mergeCell ref="J13:J14"/>
    <mergeCell ref="K13:K14"/>
    <mergeCell ref="L13:L14"/>
    <mergeCell ref="M13:M14"/>
    <mergeCell ref="N13:N14"/>
    <mergeCell ref="O13:O14"/>
    <mergeCell ref="P13:P14"/>
    <mergeCell ref="Q13:Q14"/>
    <mergeCell ref="AM13:AM14"/>
    <mergeCell ref="AN13:AN14"/>
    <mergeCell ref="AO13:AO14"/>
    <mergeCell ref="AP13:AP14"/>
    <mergeCell ref="R13:R14"/>
    <mergeCell ref="S13:S14"/>
    <mergeCell ref="AH13:AH14"/>
    <mergeCell ref="AI13:AI14"/>
    <mergeCell ref="AJ13:AJ14"/>
    <mergeCell ref="AK13:AK14"/>
    <mergeCell ref="AL13:AL14"/>
    <mergeCell ref="A9:E9"/>
    <mergeCell ref="F9:P9"/>
    <mergeCell ref="Q9:AE9"/>
    <mergeCell ref="AF9:AP9"/>
    <mergeCell ref="A10:AP10"/>
    <mergeCell ref="A11:D14"/>
    <mergeCell ref="J11:AP11"/>
    <mergeCell ref="E11:H14"/>
    <mergeCell ref="I13:I14"/>
    <mergeCell ref="A15:D16"/>
    <mergeCell ref="E15:H15"/>
    <mergeCell ref="E16:H16"/>
    <mergeCell ref="E17:H17"/>
    <mergeCell ref="E18:H18"/>
    <mergeCell ref="E19:H19"/>
    <mergeCell ref="E20:H20"/>
    <mergeCell ref="E21:H21"/>
    <mergeCell ref="E22:H22"/>
    <mergeCell ref="E23:H23"/>
    <mergeCell ref="E24:H24"/>
    <mergeCell ref="E26:H26"/>
    <mergeCell ref="A17:D18"/>
    <mergeCell ref="A19:D20"/>
    <mergeCell ref="A21:D22"/>
    <mergeCell ref="A23:D24"/>
    <mergeCell ref="A26:D27"/>
    <mergeCell ref="A28:D29"/>
    <mergeCell ref="A30:D31"/>
    <mergeCell ref="E35:H35"/>
    <mergeCell ref="E36:H36"/>
    <mergeCell ref="E37:H37"/>
    <mergeCell ref="E38:H38"/>
    <mergeCell ref="E39:H39"/>
    <mergeCell ref="E40:H40"/>
    <mergeCell ref="E27:H27"/>
    <mergeCell ref="E28:H28"/>
    <mergeCell ref="E29:H29"/>
    <mergeCell ref="E30:H30"/>
    <mergeCell ref="E31:H31"/>
    <mergeCell ref="E33:H33"/>
    <mergeCell ref="E34:H34"/>
    <mergeCell ref="A47:C47"/>
    <mergeCell ref="A48:C48"/>
    <mergeCell ref="A33:D34"/>
    <mergeCell ref="A35:D36"/>
    <mergeCell ref="A37:D38"/>
    <mergeCell ref="A39:D40"/>
    <mergeCell ref="A44:C44"/>
    <mergeCell ref="A45:C45"/>
    <mergeCell ref="A46:C46"/>
    <mergeCell ref="T13:T14"/>
    <mergeCell ref="U13:U14"/>
    <mergeCell ref="V13:V14"/>
    <mergeCell ref="W13:W14"/>
    <mergeCell ref="X13:X14"/>
    <mergeCell ref="Y13:Y14"/>
    <mergeCell ref="Z13:Z14"/>
    <mergeCell ref="AA13:AA14"/>
    <mergeCell ref="AB13:AB14"/>
    <mergeCell ref="AC13:AC14"/>
    <mergeCell ref="AD13:AD14"/>
    <mergeCell ref="AE13:AE14"/>
    <mergeCell ref="AF13:AF14"/>
    <mergeCell ref="AG13:AG14"/>
  </mergeCells>
  <conditionalFormatting sqref="J15:AP24 J26:AP31 J33:AP42">
    <cfRule type="cellIs" dxfId="4" priority="1" operator="equal">
      <formula>"N"</formula>
    </cfRule>
  </conditionalFormatting>
  <printOptions horizontalCentered="1"/>
  <pageMargins bottom="0.1968503937007874" footer="0.0" header="0.0" left="0.1968503937007874" right="0.005859375" top="0.1968503937007874"/>
  <pageSetup paperSize="9" scale="90"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2015-04-24T10:23:30Z</dcterms:created>
  <dc:creator>Marcelo Caetano da Silva</dc:creator>
</cp:coreProperties>
</file>